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psbvn-my.sharepoint.com/personal/it_psbvn_onmicrosoft_com/Documents/05 MASTER JOB UPDATE/2026/AC0481-DRT-OTHMY-BLUE OCEAN KET VALVE/BAKER HUGES/CBU/"/>
    </mc:Choice>
  </mc:AlternateContent>
  <xr:revisionPtr revIDLastSave="154" documentId="8_{548FE4FC-7FD7-48D5-8082-30418D72F24C}" xr6:coauthVersionLast="47" xr6:coauthVersionMax="47" xr10:uidLastSave="{8938C7C4-D179-47EA-ACF2-47F6A5F10FBF}"/>
  <bookViews>
    <workbookView xWindow="-90" yWindow="-16320" windowWidth="29040" windowHeight="15720" tabRatio="465" activeTab="4" xr2:uid="{00000000-000D-0000-FFFF-FFFF00000000}"/>
  </bookViews>
  <sheets>
    <sheet name="Logistic" sheetId="9" r:id="rId1"/>
    <sheet name="Bank Fee" sheetId="5" r:id="rId2"/>
    <sheet name="Guide" sheetId="10" r:id="rId3"/>
    <sheet name="Margin Analysic" sheetId="7" r:id="rId4"/>
    <sheet name="Margin Analysic (2)" sheetId="11" r:id="rId5"/>
  </sheets>
  <definedNames>
    <definedName name="_xlnm._FilterDatabase" localSheetId="3" hidden="1">'Margin Analysic'!$A$5:$O$8</definedName>
    <definedName name="_xlnm._FilterDatabase" localSheetId="4" hidden="1">'Margin Analysic (2)'!$A$5:$O$8</definedName>
    <definedName name="SUP" localSheetId="3">#REF!</definedName>
    <definedName name="SUP" localSheetId="4">#REF!</definedName>
    <definedName name="SU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 i="11" l="1"/>
  <c r="O14" i="7"/>
  <c r="P14" i="7"/>
  <c r="G16" i="7"/>
  <c r="H15" i="11"/>
  <c r="I15" i="11"/>
  <c r="J15" i="11"/>
  <c r="K15" i="11"/>
  <c r="L15" i="11"/>
  <c r="M15" i="11"/>
  <c r="N15" i="11"/>
  <c r="O15" i="11" s="1"/>
  <c r="P15" i="11"/>
  <c r="P14" i="11"/>
  <c r="F18" i="11"/>
  <c r="F15" i="11"/>
  <c r="F14" i="7"/>
  <c r="F15" i="7"/>
  <c r="E15" i="11"/>
  <c r="F14" i="11"/>
  <c r="N7" i="11"/>
  <c r="J7" i="11"/>
  <c r="E7" i="11"/>
  <c r="O6" i="11"/>
  <c r="O7" i="11" s="1"/>
  <c r="M6" i="11"/>
  <c r="M7" i="11" s="1"/>
  <c r="L6" i="11"/>
  <c r="L7" i="11" s="1"/>
  <c r="G6" i="11"/>
  <c r="F6" i="11"/>
  <c r="F7" i="11" s="1"/>
  <c r="F10" i="11" s="1"/>
  <c r="O6" i="7"/>
  <c r="G15" i="7"/>
  <c r="M14" i="7"/>
  <c r="O15" i="7"/>
  <c r="N15" i="7"/>
  <c r="F6" i="7"/>
  <c r="F7" i="7"/>
  <c r="J15" i="7"/>
  <c r="E15" i="7"/>
  <c r="N7" i="7"/>
  <c r="E7" i="7"/>
  <c r="P15" i="7" l="1"/>
  <c r="M14" i="11"/>
  <c r="G7" i="11"/>
  <c r="I6" i="11"/>
  <c r="H6" i="11"/>
  <c r="H7" i="11" s="1"/>
  <c r="F18" i="7"/>
  <c r="F10" i="7"/>
  <c r="G14" i="11" l="1"/>
  <c r="L14" i="11"/>
  <c r="K6" i="11"/>
  <c r="K7" i="11" s="1"/>
  <c r="I7" i="11"/>
  <c r="M6" i="7"/>
  <c r="O7" i="7"/>
  <c r="H2" i="9"/>
  <c r="G15" i="11" l="1"/>
  <c r="G16" i="11" s="1"/>
  <c r="H14" i="11"/>
  <c r="I14" i="11"/>
  <c r="K14" i="11"/>
  <c r="G14" i="7"/>
  <c r="M15" i="7"/>
  <c r="L6" i="7"/>
  <c r="L7" i="7" s="1"/>
  <c r="G6" i="7"/>
  <c r="M7" i="7"/>
  <c r="L14" i="7"/>
  <c r="L15" i="7" s="1"/>
  <c r="I6" i="7"/>
  <c r="K6" i="7" s="1"/>
  <c r="L6" i="5"/>
  <c r="M6" i="5" s="1"/>
  <c r="K6" i="5"/>
  <c r="K7" i="5"/>
  <c r="E18" i="5"/>
  <c r="I18" i="5"/>
  <c r="K18" i="5"/>
  <c r="K21" i="5" s="1"/>
  <c r="K19" i="5"/>
  <c r="K20" i="5"/>
  <c r="J7" i="7"/>
  <c r="G7" i="7" l="1"/>
  <c r="H6" i="7"/>
  <c r="H7" i="7" s="1"/>
  <c r="H14" i="7"/>
  <c r="H15" i="7" s="1"/>
  <c r="I14" i="7"/>
  <c r="K7" i="7"/>
  <c r="I7" i="7"/>
  <c r="L7" i="5" l="1"/>
  <c r="M7" i="5" s="1"/>
  <c r="M9" i="5" s="1"/>
  <c r="I15" i="7"/>
  <c r="K14" i="7"/>
  <c r="K15" i="7" s="1"/>
</calcChain>
</file>

<file path=xl/sharedStrings.xml><?xml version="1.0" encoding="utf-8"?>
<sst xmlns="http://schemas.openxmlformats.org/spreadsheetml/2006/main" count="155" uniqueCount="77">
  <si>
    <t>Bank transfer</t>
  </si>
  <si>
    <t>Bank remittance</t>
  </si>
  <si>
    <t>Bank intl transfer fee</t>
  </si>
  <si>
    <t>TOTAL FEE</t>
  </si>
  <si>
    <t>Example:</t>
  </si>
  <si>
    <t xml:space="preserve">Transfer: </t>
  </si>
  <si>
    <t>x</t>
  </si>
  <si>
    <t>=</t>
  </si>
  <si>
    <t>=&gt;</t>
  </si>
  <si>
    <t>TOTAL bank fee</t>
  </si>
  <si>
    <t>MBBANK</t>
  </si>
  <si>
    <t>(0.05%* amount transfer)</t>
  </si>
  <si>
    <t xml:space="preserve">Total Cost </t>
  </si>
  <si>
    <t>Job No.</t>
  </si>
  <si>
    <t>INQ DATE</t>
  </si>
  <si>
    <t xml:space="preserve">Sales Price </t>
  </si>
  <si>
    <t xml:space="preserve">Total Revenue </t>
  </si>
  <si>
    <t xml:space="preserve">Total Margin </t>
  </si>
  <si>
    <t xml:space="preserve">Unit Cost </t>
  </si>
  <si>
    <t xml:space="preserve">Material Cost </t>
  </si>
  <si>
    <t xml:space="preserve">Financial Cost </t>
  </si>
  <si>
    <t xml:space="preserve">=( 0.2%* amount transfer)*1.1          </t>
  </si>
  <si>
    <t xml:space="preserve">Min </t>
  </si>
  <si>
    <t>Part No.</t>
  </si>
  <si>
    <t xml:space="preserve">Amount </t>
  </si>
  <si>
    <t>Fee</t>
  </si>
  <si>
    <t xml:space="preserve">Incoterm </t>
  </si>
  <si>
    <t>CURRENCY:</t>
  </si>
  <si>
    <t>USD-&gt;EUR:</t>
  </si>
  <si>
    <t xml:space="preserve">FORMULA TO CALCULATE BANK FEE </t>
  </si>
  <si>
    <t xml:space="preserve">International remittance </t>
  </si>
  <si>
    <t xml:space="preserve">International Receive </t>
  </si>
  <si>
    <t>(1)+(2)</t>
  </si>
  <si>
    <t>USD--&gt;VND</t>
  </si>
  <si>
    <t xml:space="preserve">Cost </t>
  </si>
  <si>
    <t>COUNTRY:</t>
  </si>
  <si>
    <t xml:space="preserve">Description.  </t>
  </si>
  <si>
    <t>Credit (days)</t>
  </si>
  <si>
    <t>Weight (kg)</t>
  </si>
  <si>
    <t>Q'ty</t>
  </si>
  <si>
    <t xml:space="preserve"> % Margin </t>
  </si>
  <si>
    <t>Margin per unit</t>
  </si>
  <si>
    <t xml:space="preserve">Rate </t>
  </si>
  <si>
    <t xml:space="preserve">Shipment 1 </t>
  </si>
  <si>
    <t>Shipment 2</t>
  </si>
  <si>
    <t>Shipment 3</t>
  </si>
  <si>
    <t xml:space="preserve">From </t>
  </si>
  <si>
    <t xml:space="preserve">To </t>
  </si>
  <si>
    <t xml:space="preserve">Transit time </t>
  </si>
  <si>
    <t xml:space="preserve">MOT </t>
  </si>
  <si>
    <t>Weight (Kg)</t>
  </si>
  <si>
    <t xml:space="preserve">Total </t>
  </si>
  <si>
    <t xml:space="preserve">Forwarder </t>
  </si>
  <si>
    <t xml:space="preserve">FREIGHT </t>
  </si>
  <si>
    <t>***Please insert row before this line</t>
  </si>
  <si>
    <t>Customer:</t>
  </si>
  <si>
    <t>Goods origin</t>
  </si>
  <si>
    <t xml:space="preserve">Supplier </t>
  </si>
  <si>
    <t>USD</t>
  </si>
  <si>
    <t>Oversea</t>
  </si>
  <si>
    <t>ITEM</t>
  </si>
  <si>
    <t>Shipment 4</t>
  </si>
  <si>
    <t>KEYSTONE</t>
  </si>
  <si>
    <t>FCA</t>
  </si>
  <si>
    <t>Freight/kg</t>
  </si>
  <si>
    <t>LOUSIANA, US</t>
  </si>
  <si>
    <t>1R MODEL F STD. SERVICE DRILL PIPE FLOAT VALVE</t>
  </si>
  <si>
    <t>PAYMENT WITH ORDER</t>
  </si>
  <si>
    <t>Baker Huges</t>
  </si>
  <si>
    <t>AC0481-DRT-OTHMY</t>
  </si>
  <si>
    <t>MY</t>
  </si>
  <si>
    <t>DDP</t>
  </si>
  <si>
    <t>Labuan</t>
  </si>
  <si>
    <t xml:space="preserve">Frieght </t>
  </si>
  <si>
    <t>DAP Kemaman, Malaysia</t>
  </si>
  <si>
    <t>LBS</t>
  </si>
  <si>
    <t>NET 60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</si>
</sst>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44" formatCode="_(&quot;$&quot;* #,##0.00_);_(&quot;$&quot;* \(#,##0.00\);_(&quot;$&quot;* &quot;-&quot;??_);_(@_)"/>
    <numFmt numFmtId="43" formatCode="_(* #,##0.00_);_(* \(#,##0.00\);_(* &quot;-&quot;??_);_(@_)"/>
    <numFmt numFmtId="164" formatCode="_-* #,##0.00_-;\-* #,##0.00_-;_-* &quot;-&quot;??_-;_-@_-"/>
    <numFmt numFmtId="165" formatCode="_-* #,##0_-;\-* #,##0_-;_-* &quot;-&quot;??_-;_-@_-"/>
    <numFmt numFmtId="166" formatCode="&quot;$&quot;##,###"/>
    <numFmt numFmtId="167" formatCode="&quot;USD&quot;\ ##,###.0"/>
    <numFmt numFmtId="168" formatCode="&quot;$&quot;#,##0.00"/>
    <numFmt numFmtId="169" formatCode="&quot;USD&quot;\ ##,###"/>
    <numFmt numFmtId="170" formatCode="\(##,###\)"/>
    <numFmt numFmtId="171" formatCode="_-* #,##0.000_-;\-* #,##0.000_-;_-* &quot;-&quot;??_-;_-@_-"/>
    <numFmt numFmtId="172" formatCode="[$-409]d\-mmm\-yy;@"/>
    <numFmt numFmtId="173" formatCode="_-* #,##0.00\ _₫_-;\-* #,##0.00\ _₫_-;_-* &quot;-&quot;??\ _₫_-;_-@_-"/>
    <numFmt numFmtId="174" formatCode="0.0000"/>
  </numFmts>
  <fonts count="19" x14ac:knownFonts="1">
    <font>
      <sz val="11"/>
      <color theme="1"/>
      <name val="Calibri"/>
      <family val="2"/>
      <scheme val="minor"/>
    </font>
    <font>
      <sz val="11"/>
      <color theme="1"/>
      <name val="Calibri"/>
      <family val="2"/>
      <scheme val="minor"/>
    </font>
    <font>
      <sz val="10"/>
      <name val="Arial"/>
      <family val="2"/>
    </font>
    <font>
      <sz val="12"/>
      <color theme="1"/>
      <name val="Calibri"/>
      <family val="2"/>
      <scheme val="minor"/>
    </font>
    <font>
      <b/>
      <sz val="12"/>
      <color theme="1"/>
      <name val="Calibri"/>
      <family val="2"/>
      <scheme val="minor"/>
    </font>
    <font>
      <b/>
      <i/>
      <u/>
      <sz val="12"/>
      <color theme="1"/>
      <name val="Calibri"/>
      <family val="2"/>
      <scheme val="minor"/>
    </font>
    <font>
      <b/>
      <i/>
      <u/>
      <sz val="15"/>
      <color theme="1"/>
      <name val="Calibri"/>
      <family val="2"/>
      <scheme val="minor"/>
    </font>
    <font>
      <b/>
      <i/>
      <u/>
      <sz val="13"/>
      <color theme="1"/>
      <name val="Calibri"/>
      <family val="2"/>
      <scheme val="minor"/>
    </font>
    <font>
      <b/>
      <sz val="20"/>
      <color theme="1"/>
      <name val="Calibri"/>
      <family val="2"/>
      <scheme val="minor"/>
    </font>
    <font>
      <sz val="11"/>
      <color theme="1"/>
      <name val="Calibri"/>
      <family val="2"/>
      <scheme val="minor"/>
    </font>
    <font>
      <b/>
      <sz val="12"/>
      <name val="Calibri"/>
      <family val="2"/>
      <scheme val="minor"/>
    </font>
    <font>
      <b/>
      <sz val="12"/>
      <color theme="0"/>
      <name val="Calibri"/>
      <family val="2"/>
      <scheme val="minor"/>
    </font>
    <font>
      <sz val="12"/>
      <color theme="0"/>
      <name val="Calibri"/>
      <family val="2"/>
      <scheme val="minor"/>
    </font>
    <font>
      <b/>
      <i/>
      <sz val="12"/>
      <color theme="1"/>
      <name val="Calibri"/>
      <family val="2"/>
      <scheme val="minor"/>
    </font>
    <font>
      <sz val="8"/>
      <name val="Calibri"/>
      <family val="2"/>
      <scheme val="minor"/>
    </font>
    <font>
      <b/>
      <sz val="11"/>
      <color theme="1"/>
      <name val="Calibri"/>
      <family val="2"/>
      <scheme val="minor"/>
    </font>
    <font>
      <i/>
      <sz val="12"/>
      <color theme="1"/>
      <name val="Calibri"/>
      <family val="2"/>
      <scheme val="minor"/>
    </font>
    <font>
      <sz val="10"/>
      <name val="Arial Narrow"/>
      <family val="2"/>
    </font>
    <font>
      <b/>
      <sz val="12"/>
      <color rgb="FFFF0000"/>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0" tint="-0.499984740745262"/>
        <bgColor indexed="64"/>
      </patternFill>
    </fill>
    <fill>
      <patternFill patternType="solid">
        <fgColor rgb="FF00009B"/>
        <bgColor indexed="64"/>
      </patternFill>
    </fill>
    <fill>
      <patternFill patternType="solid">
        <fgColor rgb="FFC00000"/>
        <bgColor indexed="64"/>
      </patternFill>
    </fill>
    <fill>
      <patternFill patternType="solid">
        <fgColor theme="5" tint="0.79998168889431442"/>
        <bgColor indexed="64"/>
      </patternFill>
    </fill>
    <fill>
      <patternFill patternType="solid">
        <fgColor theme="0"/>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s>
  <cellStyleXfs count="9">
    <xf numFmtId="0" fontId="0" fillId="0" borderId="0"/>
    <xf numFmtId="164" fontId="1"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1" fillId="0" borderId="0"/>
    <xf numFmtId="44" fontId="1" fillId="0" borderId="0" applyFont="0" applyFill="0" applyBorder="0" applyAlignment="0" applyProtection="0"/>
    <xf numFmtId="0" fontId="9" fillId="0" borderId="0"/>
    <xf numFmtId="0" fontId="2" fillId="0" borderId="0"/>
    <xf numFmtId="4" fontId="2" fillId="0" borderId="0">
      <alignment vertical="center"/>
    </xf>
  </cellStyleXfs>
  <cellXfs count="84">
    <xf numFmtId="0" fontId="0" fillId="0" borderId="0" xfId="0"/>
    <xf numFmtId="0" fontId="3" fillId="0" borderId="0" xfId="0" applyFont="1"/>
    <xf numFmtId="166" fontId="3" fillId="0" borderId="0" xfId="0" applyNumberFormat="1" applyFont="1"/>
    <xf numFmtId="167" fontId="3" fillId="0" borderId="0" xfId="0" applyNumberFormat="1" applyFont="1"/>
    <xf numFmtId="0" fontId="4" fillId="0" borderId="0" xfId="0" applyFont="1"/>
    <xf numFmtId="6" fontId="3" fillId="0" borderId="0" xfId="0" applyNumberFormat="1" applyFont="1"/>
    <xf numFmtId="168" fontId="3" fillId="0" borderId="0" xfId="0" quotePrefix="1" applyNumberFormat="1" applyFont="1"/>
    <xf numFmtId="169" fontId="3" fillId="0" borderId="0" xfId="0" applyNumberFormat="1" applyFont="1"/>
    <xf numFmtId="10" fontId="3" fillId="0" borderId="0" xfId="0" quotePrefix="1" applyNumberFormat="1" applyFont="1"/>
    <xf numFmtId="0" fontId="5" fillId="0" borderId="0" xfId="0" applyFont="1"/>
    <xf numFmtId="0" fontId="3" fillId="0" borderId="2" xfId="0" applyFont="1" applyBorder="1"/>
    <xf numFmtId="170" fontId="3" fillId="0" borderId="0" xfId="0" applyNumberFormat="1" applyFont="1"/>
    <xf numFmtId="0" fontId="6" fillId="0" borderId="0" xfId="0" applyFont="1"/>
    <xf numFmtId="0" fontId="7" fillId="0" borderId="0" xfId="0" applyFont="1"/>
    <xf numFmtId="0" fontId="8" fillId="0" borderId="0" xfId="0" applyFont="1" applyAlignment="1">
      <alignment horizontal="center"/>
    </xf>
    <xf numFmtId="0" fontId="8" fillId="0" borderId="0" xfId="0" applyFont="1"/>
    <xf numFmtId="44" fontId="0" fillId="0" borderId="0" xfId="5" applyFont="1"/>
    <xf numFmtId="0" fontId="3" fillId="0" borderId="0" xfId="6" applyFont="1" applyAlignment="1">
      <alignment horizontal="left" vertical="center"/>
    </xf>
    <xf numFmtId="0" fontId="3" fillId="0" borderId="1" xfId="6" applyFont="1" applyBorder="1" applyAlignment="1">
      <alignment vertical="center" wrapText="1"/>
    </xf>
    <xf numFmtId="164" fontId="0" fillId="0" borderId="0" xfId="0" applyNumberFormat="1"/>
    <xf numFmtId="0" fontId="10" fillId="0" borderId="0" xfId="6" applyFont="1" applyAlignment="1">
      <alignment vertical="center" wrapText="1"/>
    </xf>
    <xf numFmtId="0" fontId="3" fillId="0" borderId="0" xfId="6" applyFont="1" applyAlignment="1">
      <alignment horizontal="center" vertical="center"/>
    </xf>
    <xf numFmtId="0" fontId="3" fillId="0" borderId="0" xfId="6" applyFont="1" applyAlignment="1">
      <alignment vertical="center"/>
    </xf>
    <xf numFmtId="0" fontId="3" fillId="0" borderId="0" xfId="6" applyFont="1" applyAlignment="1">
      <alignment horizontal="right" vertical="center"/>
    </xf>
    <xf numFmtId="165" fontId="3" fillId="0" borderId="0" xfId="1" applyNumberFormat="1" applyFont="1" applyFill="1" applyBorder="1" applyAlignment="1">
      <alignment horizontal="center" vertical="center"/>
    </xf>
    <xf numFmtId="0" fontId="4" fillId="0" borderId="0" xfId="6" applyFont="1" applyAlignment="1">
      <alignment vertical="center"/>
    </xf>
    <xf numFmtId="164" fontId="3" fillId="0" borderId="0" xfId="1" applyFont="1" applyFill="1" applyBorder="1" applyAlignment="1">
      <alignment vertical="center"/>
    </xf>
    <xf numFmtId="0" fontId="3" fillId="0" borderId="0" xfId="6" applyFont="1" applyAlignment="1">
      <alignment vertical="center" wrapText="1"/>
    </xf>
    <xf numFmtId="0" fontId="4" fillId="0" borderId="0" xfId="6" applyFont="1" applyAlignment="1">
      <alignment vertical="center" wrapText="1"/>
    </xf>
    <xf numFmtId="0" fontId="4" fillId="0" borderId="0" xfId="6" applyFont="1" applyAlignment="1">
      <alignment horizontal="center" vertical="center"/>
    </xf>
    <xf numFmtId="0" fontId="11" fillId="3" borderId="1" xfId="6" applyFont="1" applyFill="1" applyBorder="1" applyAlignment="1">
      <alignment horizontal="left" vertical="center" wrapText="1"/>
    </xf>
    <xf numFmtId="0" fontId="11" fillId="3" borderId="1" xfId="6" applyFont="1" applyFill="1" applyBorder="1" applyAlignment="1">
      <alignment horizontal="center" vertical="center" wrapText="1"/>
    </xf>
    <xf numFmtId="0" fontId="12" fillId="4" borderId="1" xfId="6" applyFont="1" applyFill="1" applyBorder="1" applyAlignment="1">
      <alignment horizontal="center" vertical="center" wrapText="1"/>
    </xf>
    <xf numFmtId="0" fontId="12" fillId="5" borderId="1" xfId="6" applyFont="1" applyFill="1" applyBorder="1" applyAlignment="1">
      <alignment horizontal="center" vertical="center" wrapText="1"/>
    </xf>
    <xf numFmtId="0" fontId="3" fillId="0" borderId="1" xfId="6" applyFont="1" applyBorder="1" applyAlignment="1">
      <alignment horizontal="center" vertical="center"/>
    </xf>
    <xf numFmtId="9" fontId="3" fillId="0" borderId="1" xfId="6" applyNumberFormat="1" applyFont="1" applyBorder="1" applyAlignment="1">
      <alignment horizontal="center" vertical="center"/>
    </xf>
    <xf numFmtId="165" fontId="4" fillId="0" borderId="1" xfId="1" applyNumberFormat="1" applyFont="1" applyBorder="1" applyAlignment="1">
      <alignment vertical="center"/>
    </xf>
    <xf numFmtId="165" fontId="3" fillId="0" borderId="1" xfId="6" applyNumberFormat="1" applyFont="1" applyBorder="1" applyAlignment="1">
      <alignment vertical="center"/>
    </xf>
    <xf numFmtId="164" fontId="3" fillId="0" borderId="0" xfId="1" applyFont="1" applyAlignment="1">
      <alignment vertical="center"/>
    </xf>
    <xf numFmtId="164" fontId="12" fillId="5" borderId="1" xfId="1" applyFont="1" applyFill="1" applyBorder="1" applyAlignment="1">
      <alignment horizontal="center" vertical="center" wrapText="1"/>
    </xf>
    <xf numFmtId="164" fontId="3" fillId="0" borderId="1" xfId="1" applyFont="1" applyBorder="1" applyAlignment="1">
      <alignment vertical="center"/>
    </xf>
    <xf numFmtId="164" fontId="3" fillId="0" borderId="0" xfId="1" applyFont="1"/>
    <xf numFmtId="164" fontId="0" fillId="0" borderId="0" xfId="1" applyFont="1"/>
    <xf numFmtId="43" fontId="0" fillId="0" borderId="0" xfId="0" applyNumberFormat="1"/>
    <xf numFmtId="0" fontId="10" fillId="0" borderId="1" xfId="6" applyFont="1" applyBorder="1" applyAlignment="1">
      <alignment horizontal="left" vertical="center"/>
    </xf>
    <xf numFmtId="164" fontId="12" fillId="4" borderId="1" xfId="1" applyFont="1" applyFill="1" applyBorder="1" applyAlignment="1">
      <alignment horizontal="center" vertical="center" wrapText="1"/>
    </xf>
    <xf numFmtId="164" fontId="4" fillId="0" borderId="0" xfId="1" applyFont="1" applyAlignment="1">
      <alignment vertical="center"/>
    </xf>
    <xf numFmtId="164" fontId="3" fillId="0" borderId="0" xfId="1" applyFont="1" applyAlignment="1">
      <alignment horizontal="left" vertical="center"/>
    </xf>
    <xf numFmtId="164" fontId="13" fillId="0" borderId="0" xfId="1" applyFont="1" applyAlignment="1">
      <alignment vertical="center"/>
    </xf>
    <xf numFmtId="172" fontId="4" fillId="0" borderId="0" xfId="1" applyNumberFormat="1" applyFont="1" applyAlignment="1">
      <alignment vertical="center"/>
    </xf>
    <xf numFmtId="0" fontId="16" fillId="0" borderId="0" xfId="6" applyFont="1" applyAlignment="1">
      <alignment vertical="center"/>
    </xf>
    <xf numFmtId="171" fontId="16" fillId="0" borderId="0" xfId="1" applyNumberFormat="1" applyFont="1" applyAlignment="1">
      <alignment vertical="center"/>
    </xf>
    <xf numFmtId="165" fontId="16" fillId="0" borderId="0" xfId="1" applyNumberFormat="1" applyFont="1" applyAlignment="1">
      <alignment vertical="center"/>
    </xf>
    <xf numFmtId="164" fontId="16" fillId="0" borderId="0" xfId="1" applyFont="1" applyAlignment="1">
      <alignment vertical="center"/>
    </xf>
    <xf numFmtId="0" fontId="3" fillId="6" borderId="0" xfId="6" applyFont="1" applyFill="1" applyAlignment="1">
      <alignment horizontal="left" vertical="center"/>
    </xf>
    <xf numFmtId="10" fontId="3" fillId="7" borderId="0" xfId="0" quotePrefix="1" applyNumberFormat="1" applyFont="1" applyFill="1"/>
    <xf numFmtId="0" fontId="0" fillId="2" borderId="0" xfId="0" applyFill="1"/>
    <xf numFmtId="44" fontId="15" fillId="0" borderId="0" xfId="5" applyFont="1"/>
    <xf numFmtId="0" fontId="0" fillId="6" borderId="0" xfId="0" applyFill="1"/>
    <xf numFmtId="0" fontId="15" fillId="0" borderId="0" xfId="0" applyFont="1"/>
    <xf numFmtId="173" fontId="3" fillId="0" borderId="0" xfId="6" applyNumberFormat="1" applyFont="1" applyAlignment="1">
      <alignment vertical="center"/>
    </xf>
    <xf numFmtId="2" fontId="3" fillId="0" borderId="1" xfId="1" applyNumberFormat="1" applyFont="1" applyBorder="1" applyAlignment="1">
      <alignment vertical="center"/>
    </xf>
    <xf numFmtId="0" fontId="4" fillId="8" borderId="1" xfId="6" applyFont="1" applyFill="1" applyBorder="1" applyAlignment="1">
      <alignment horizontal="center" vertical="center"/>
    </xf>
    <xf numFmtId="0" fontId="4" fillId="8" borderId="0" xfId="6" applyFont="1" applyFill="1" applyAlignment="1">
      <alignment vertical="center"/>
    </xf>
    <xf numFmtId="0" fontId="4" fillId="8" borderId="1" xfId="6" applyFont="1" applyFill="1" applyBorder="1" applyAlignment="1">
      <alignment vertical="center"/>
    </xf>
    <xf numFmtId="164" fontId="4" fillId="8" borderId="1" xfId="1" applyFont="1" applyFill="1" applyBorder="1" applyAlignment="1">
      <alignment vertical="center"/>
    </xf>
    <xf numFmtId="10" fontId="4" fillId="8" borderId="1" xfId="6" applyNumberFormat="1" applyFont="1" applyFill="1" applyBorder="1" applyAlignment="1">
      <alignment horizontal="center" vertical="center"/>
    </xf>
    <xf numFmtId="43" fontId="3" fillId="0" borderId="1" xfId="1" applyNumberFormat="1" applyFont="1" applyFill="1" applyBorder="1" applyAlignment="1">
      <alignment vertical="center"/>
    </xf>
    <xf numFmtId="164" fontId="3" fillId="0" borderId="1" xfId="6" applyNumberFormat="1" applyFont="1" applyBorder="1" applyAlignment="1">
      <alignment vertical="center"/>
    </xf>
    <xf numFmtId="164" fontId="4" fillId="0" borderId="1" xfId="1" applyFont="1" applyFill="1" applyBorder="1" applyAlignment="1">
      <alignment vertical="center"/>
    </xf>
    <xf numFmtId="164" fontId="4" fillId="0" borderId="1" xfId="1" applyFont="1" applyBorder="1" applyAlignment="1">
      <alignment vertical="center"/>
    </xf>
    <xf numFmtId="3" fontId="17" fillId="0" borderId="1" xfId="0" applyNumberFormat="1" applyFont="1" applyBorder="1" applyAlignment="1">
      <alignment horizontal="center" vertical="center" wrapText="1"/>
    </xf>
    <xf numFmtId="3" fontId="4" fillId="8" borderId="1" xfId="6" applyNumberFormat="1" applyFont="1" applyFill="1" applyBorder="1" applyAlignment="1">
      <alignment horizontal="center" vertical="center"/>
    </xf>
    <xf numFmtId="164" fontId="4" fillId="9" borderId="1" xfId="1" applyFont="1" applyFill="1" applyBorder="1" applyAlignment="1">
      <alignment vertical="center" wrapText="1"/>
    </xf>
    <xf numFmtId="0" fontId="4" fillId="0" borderId="1" xfId="6" applyFont="1" applyBorder="1" applyAlignment="1">
      <alignment horizontal="left" vertical="center" wrapText="1"/>
    </xf>
    <xf numFmtId="164" fontId="4" fillId="10" borderId="1" xfId="1" applyFont="1" applyFill="1" applyBorder="1" applyAlignment="1">
      <alignment vertical="center"/>
    </xf>
    <xf numFmtId="2" fontId="3" fillId="0" borderId="1" xfId="6" applyNumberFormat="1" applyFont="1" applyBorder="1" applyAlignment="1">
      <alignment horizontal="center" vertical="center"/>
    </xf>
    <xf numFmtId="14" fontId="3" fillId="0" borderId="0" xfId="1" applyNumberFormat="1" applyFont="1" applyAlignment="1">
      <alignment vertical="center"/>
    </xf>
    <xf numFmtId="43" fontId="3" fillId="0" borderId="0" xfId="6" applyNumberFormat="1" applyFont="1" applyAlignment="1">
      <alignment horizontal="center" vertical="center"/>
    </xf>
    <xf numFmtId="164" fontId="4" fillId="0" borderId="1" xfId="1" applyFont="1" applyFill="1" applyBorder="1" applyAlignment="1">
      <alignment vertical="center" wrapText="1"/>
    </xf>
    <xf numFmtId="2" fontId="3" fillId="0" borderId="1" xfId="1" applyNumberFormat="1" applyFont="1" applyBorder="1" applyAlignment="1">
      <alignment vertical="center" wrapText="1"/>
    </xf>
    <xf numFmtId="174" fontId="3" fillId="0" borderId="0" xfId="6" applyNumberFormat="1" applyFont="1" applyAlignment="1">
      <alignment vertical="center"/>
    </xf>
    <xf numFmtId="43" fontId="3" fillId="0" borderId="1" xfId="1" applyNumberFormat="1" applyFont="1" applyBorder="1" applyAlignment="1">
      <alignment vertical="center"/>
    </xf>
    <xf numFmtId="164" fontId="18" fillId="11" borderId="1" xfId="1" applyFont="1" applyFill="1" applyBorder="1" applyAlignment="1">
      <alignment vertical="center"/>
    </xf>
  </cellXfs>
  <cellStyles count="9">
    <cellStyle name="Comma" xfId="1" builtinId="3"/>
    <cellStyle name="Currency" xfId="5" builtinId="4"/>
    <cellStyle name="Currency 5" xfId="3" xr:uid="{00000000-0005-0000-0000-000001000000}"/>
    <cellStyle name="Currency 7" xfId="2" xr:uid="{00000000-0005-0000-0000-000002000000}"/>
    <cellStyle name="Normal" xfId="0" builtinId="0"/>
    <cellStyle name="Normal 2" xfId="6" xr:uid="{5FD3585E-F977-4257-A909-7F90F01A8A07}"/>
    <cellStyle name="Normal 3" xfId="7" xr:uid="{09DA91DC-063F-44AE-A7AC-B105C4FF419C}"/>
    <cellStyle name="Normal 4" xfId="4" xr:uid="{00000000-0005-0000-0000-000004000000}"/>
    <cellStyle name="Normal 7 2" xfId="8" xr:uid="{179E3C30-2BCD-48F0-BBAE-5424818F80B6}"/>
  </cellStyles>
  <dxfs count="0"/>
  <tableStyles count="0" defaultTableStyle="TableStyleMedium2" defaultPivotStyle="PivotStyleLight16"/>
  <colors>
    <mruColors>
      <color rgb="FF2E406C"/>
      <color rgb="FF425C9C"/>
      <color rgb="FF000099"/>
      <color rgb="FF2533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D1757-DDDD-44CD-ADBA-842D84BDCAB1}">
  <sheetPr>
    <tabColor theme="5" tint="0.79998168889431442"/>
  </sheetPr>
  <dimension ref="A1:I6"/>
  <sheetViews>
    <sheetView workbookViewId="0">
      <selection activeCell="G3" sqref="G3"/>
    </sheetView>
  </sheetViews>
  <sheetFormatPr defaultRowHeight="14.5" x14ac:dyDescent="0.35"/>
  <cols>
    <col min="1" max="1" width="10.54296875" bestFit="1" customWidth="1"/>
    <col min="2" max="2" width="10.453125" bestFit="1" customWidth="1"/>
    <col min="3" max="3" width="9" bestFit="1" customWidth="1"/>
    <col min="4" max="4" width="6.08984375" customWidth="1"/>
    <col min="5" max="5" width="11.6328125" customWidth="1"/>
    <col min="6" max="6" width="12.08984375" customWidth="1"/>
    <col min="7" max="8" width="10.08984375" customWidth="1"/>
    <col min="9" max="9" width="11.08984375" bestFit="1" customWidth="1"/>
  </cols>
  <sheetData>
    <row r="1" spans="1:9" x14ac:dyDescent="0.35">
      <c r="B1" t="s">
        <v>50</v>
      </c>
      <c r="C1" t="s">
        <v>46</v>
      </c>
      <c r="D1" t="s">
        <v>47</v>
      </c>
      <c r="E1" t="s">
        <v>49</v>
      </c>
      <c r="F1" t="s">
        <v>52</v>
      </c>
      <c r="G1" t="s">
        <v>53</v>
      </c>
      <c r="H1" t="s">
        <v>64</v>
      </c>
      <c r="I1" t="s">
        <v>48</v>
      </c>
    </row>
    <row r="2" spans="1:9" x14ac:dyDescent="0.35">
      <c r="A2" t="s">
        <v>43</v>
      </c>
      <c r="B2">
        <v>40</v>
      </c>
      <c r="G2">
        <v>1800</v>
      </c>
      <c r="H2">
        <f>G2/B2</f>
        <v>45</v>
      </c>
      <c r="I2" s="58"/>
    </row>
    <row r="3" spans="1:9" x14ac:dyDescent="0.35">
      <c r="A3" t="s">
        <v>44</v>
      </c>
      <c r="I3" s="58"/>
    </row>
    <row r="4" spans="1:9" x14ac:dyDescent="0.35">
      <c r="A4" t="s">
        <v>45</v>
      </c>
      <c r="G4" s="58"/>
      <c r="H4" s="58"/>
    </row>
    <row r="5" spans="1:9" x14ac:dyDescent="0.35">
      <c r="A5" t="s">
        <v>61</v>
      </c>
      <c r="G5" s="58"/>
      <c r="H5" s="58"/>
    </row>
    <row r="6" spans="1:9" x14ac:dyDescent="0.35">
      <c r="A6" s="59" t="s">
        <v>51</v>
      </c>
      <c r="B6" s="59"/>
      <c r="C6" s="59"/>
      <c r="D6" s="59"/>
      <c r="E6" s="59"/>
      <c r="F6" s="59"/>
      <c r="G6" s="59"/>
      <c r="H6" s="59"/>
    </row>
  </sheetData>
  <phoneticPr fontId="14" type="noConversion"/>
  <dataValidations count="2">
    <dataValidation type="list" allowBlank="1" showInputMessage="1" showErrorMessage="1" sqref="E2:E6" xr:uid="{322C862D-4DF4-4662-9112-FDFA956E061B}">
      <formula1>"COURIER,SEA FREIGHT, AIR FREIGHT"</formula1>
    </dataValidation>
    <dataValidation type="list" allowBlank="1" showInputMessage="1" showErrorMessage="1" sqref="F2:F5" xr:uid="{0D7293BF-41DF-4256-9C41-D5612699BADD}">
      <formula1>"FEDEX, DHL, UPS, SCAN SHIPPING, EXPEDITOR, VIETSUN,OTHERS"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29"/>
  <sheetViews>
    <sheetView workbookViewId="0">
      <selection activeCell="O8" sqref="O8"/>
    </sheetView>
  </sheetViews>
  <sheetFormatPr defaultColWidth="8.90625" defaultRowHeight="14.5" x14ac:dyDescent="0.35"/>
  <cols>
    <col min="1" max="1" width="4.453125" customWidth="1"/>
    <col min="2" max="2" width="23.453125" customWidth="1"/>
    <col min="3" max="3" width="9.453125" customWidth="1"/>
    <col min="4" max="4" width="2.453125" customWidth="1"/>
    <col min="5" max="5" width="12.90625" customWidth="1"/>
    <col min="6" max="6" width="2" bestFit="1" customWidth="1"/>
    <col min="7" max="7" width="4.54296875" customWidth="1"/>
    <col min="8" max="8" width="2.08984375" bestFit="1" customWidth="1"/>
    <col min="9" max="9" width="9.453125" customWidth="1"/>
    <col min="10" max="10" width="3.453125" bestFit="1" customWidth="1"/>
    <col min="11" max="11" width="13" customWidth="1"/>
    <col min="12" max="12" width="14.54296875" customWidth="1"/>
    <col min="16" max="18" width="14.36328125" bestFit="1" customWidth="1"/>
    <col min="257" max="257" width="4.453125" customWidth="1"/>
    <col min="258" max="258" width="23.453125" customWidth="1"/>
    <col min="259" max="259" width="9.453125" customWidth="1"/>
    <col min="260" max="260" width="2.453125" customWidth="1"/>
    <col min="261" max="261" width="12.90625" customWidth="1"/>
    <col min="262" max="262" width="2" bestFit="1" customWidth="1"/>
    <col min="263" max="263" width="4.54296875" customWidth="1"/>
    <col min="264" max="264" width="2.08984375" bestFit="1" customWidth="1"/>
    <col min="265" max="265" width="9.453125" customWidth="1"/>
    <col min="266" max="266" width="3.453125" bestFit="1" customWidth="1"/>
    <col min="267" max="267" width="13" customWidth="1"/>
    <col min="268" max="268" width="14.54296875" customWidth="1"/>
    <col min="513" max="513" width="4.453125" customWidth="1"/>
    <col min="514" max="514" width="23.453125" customWidth="1"/>
    <col min="515" max="515" width="9.453125" customWidth="1"/>
    <col min="516" max="516" width="2.453125" customWidth="1"/>
    <col min="517" max="517" width="12.90625" customWidth="1"/>
    <col min="518" max="518" width="2" bestFit="1" customWidth="1"/>
    <col min="519" max="519" width="4.54296875" customWidth="1"/>
    <col min="520" max="520" width="2.08984375" bestFit="1" customWidth="1"/>
    <col min="521" max="521" width="9.453125" customWidth="1"/>
    <col min="522" max="522" width="3.453125" bestFit="1" customWidth="1"/>
    <col min="523" max="523" width="13" customWidth="1"/>
    <col min="524" max="524" width="14.54296875" customWidth="1"/>
    <col min="769" max="769" width="4.453125" customWidth="1"/>
    <col min="770" max="770" width="23.453125" customWidth="1"/>
    <col min="771" max="771" width="9.453125" customWidth="1"/>
    <col min="772" max="772" width="2.453125" customWidth="1"/>
    <col min="773" max="773" width="12.90625" customWidth="1"/>
    <col min="774" max="774" width="2" bestFit="1" customWidth="1"/>
    <col min="775" max="775" width="4.54296875" customWidth="1"/>
    <col min="776" max="776" width="2.08984375" bestFit="1" customWidth="1"/>
    <col min="777" max="777" width="9.453125" customWidth="1"/>
    <col min="778" max="778" width="3.453125" bestFit="1" customWidth="1"/>
    <col min="779" max="779" width="13" customWidth="1"/>
    <col min="780" max="780" width="14.54296875" customWidth="1"/>
    <col min="1025" max="1025" width="4.453125" customWidth="1"/>
    <col min="1026" max="1026" width="23.453125" customWidth="1"/>
    <col min="1027" max="1027" width="9.453125" customWidth="1"/>
    <col min="1028" max="1028" width="2.453125" customWidth="1"/>
    <col min="1029" max="1029" width="12.90625" customWidth="1"/>
    <col min="1030" max="1030" width="2" bestFit="1" customWidth="1"/>
    <col min="1031" max="1031" width="4.54296875" customWidth="1"/>
    <col min="1032" max="1032" width="2.08984375" bestFit="1" customWidth="1"/>
    <col min="1033" max="1033" width="9.453125" customWidth="1"/>
    <col min="1034" max="1034" width="3.453125" bestFit="1" customWidth="1"/>
    <col min="1035" max="1035" width="13" customWidth="1"/>
    <col min="1036" max="1036" width="14.54296875" customWidth="1"/>
    <col min="1281" max="1281" width="4.453125" customWidth="1"/>
    <col min="1282" max="1282" width="23.453125" customWidth="1"/>
    <col min="1283" max="1283" width="9.453125" customWidth="1"/>
    <col min="1284" max="1284" width="2.453125" customWidth="1"/>
    <col min="1285" max="1285" width="12.90625" customWidth="1"/>
    <col min="1286" max="1286" width="2" bestFit="1" customWidth="1"/>
    <col min="1287" max="1287" width="4.54296875" customWidth="1"/>
    <col min="1288" max="1288" width="2.08984375" bestFit="1" customWidth="1"/>
    <col min="1289" max="1289" width="9.453125" customWidth="1"/>
    <col min="1290" max="1290" width="3.453125" bestFit="1" customWidth="1"/>
    <col min="1291" max="1291" width="13" customWidth="1"/>
    <col min="1292" max="1292" width="14.54296875" customWidth="1"/>
    <col min="1537" max="1537" width="4.453125" customWidth="1"/>
    <col min="1538" max="1538" width="23.453125" customWidth="1"/>
    <col min="1539" max="1539" width="9.453125" customWidth="1"/>
    <col min="1540" max="1540" width="2.453125" customWidth="1"/>
    <col min="1541" max="1541" width="12.90625" customWidth="1"/>
    <col min="1542" max="1542" width="2" bestFit="1" customWidth="1"/>
    <col min="1543" max="1543" width="4.54296875" customWidth="1"/>
    <col min="1544" max="1544" width="2.08984375" bestFit="1" customWidth="1"/>
    <col min="1545" max="1545" width="9.453125" customWidth="1"/>
    <col min="1546" max="1546" width="3.453125" bestFit="1" customWidth="1"/>
    <col min="1547" max="1547" width="13" customWidth="1"/>
    <col min="1548" max="1548" width="14.54296875" customWidth="1"/>
    <col min="1793" max="1793" width="4.453125" customWidth="1"/>
    <col min="1794" max="1794" width="23.453125" customWidth="1"/>
    <col min="1795" max="1795" width="9.453125" customWidth="1"/>
    <col min="1796" max="1796" width="2.453125" customWidth="1"/>
    <col min="1797" max="1797" width="12.90625" customWidth="1"/>
    <col min="1798" max="1798" width="2" bestFit="1" customWidth="1"/>
    <col min="1799" max="1799" width="4.54296875" customWidth="1"/>
    <col min="1800" max="1800" width="2.08984375" bestFit="1" customWidth="1"/>
    <col min="1801" max="1801" width="9.453125" customWidth="1"/>
    <col min="1802" max="1802" width="3.453125" bestFit="1" customWidth="1"/>
    <col min="1803" max="1803" width="13" customWidth="1"/>
    <col min="1804" max="1804" width="14.54296875" customWidth="1"/>
    <col min="2049" max="2049" width="4.453125" customWidth="1"/>
    <col min="2050" max="2050" width="23.453125" customWidth="1"/>
    <col min="2051" max="2051" width="9.453125" customWidth="1"/>
    <col min="2052" max="2052" width="2.453125" customWidth="1"/>
    <col min="2053" max="2053" width="12.90625" customWidth="1"/>
    <col min="2054" max="2054" width="2" bestFit="1" customWidth="1"/>
    <col min="2055" max="2055" width="4.54296875" customWidth="1"/>
    <col min="2056" max="2056" width="2.08984375" bestFit="1" customWidth="1"/>
    <col min="2057" max="2057" width="9.453125" customWidth="1"/>
    <col min="2058" max="2058" width="3.453125" bestFit="1" customWidth="1"/>
    <col min="2059" max="2059" width="13" customWidth="1"/>
    <col min="2060" max="2060" width="14.54296875" customWidth="1"/>
    <col min="2305" max="2305" width="4.453125" customWidth="1"/>
    <col min="2306" max="2306" width="23.453125" customWidth="1"/>
    <col min="2307" max="2307" width="9.453125" customWidth="1"/>
    <col min="2308" max="2308" width="2.453125" customWidth="1"/>
    <col min="2309" max="2309" width="12.90625" customWidth="1"/>
    <col min="2310" max="2310" width="2" bestFit="1" customWidth="1"/>
    <col min="2311" max="2311" width="4.54296875" customWidth="1"/>
    <col min="2312" max="2312" width="2.08984375" bestFit="1" customWidth="1"/>
    <col min="2313" max="2313" width="9.453125" customWidth="1"/>
    <col min="2314" max="2314" width="3.453125" bestFit="1" customWidth="1"/>
    <col min="2315" max="2315" width="13" customWidth="1"/>
    <col min="2316" max="2316" width="14.54296875" customWidth="1"/>
    <col min="2561" max="2561" width="4.453125" customWidth="1"/>
    <col min="2562" max="2562" width="23.453125" customWidth="1"/>
    <col min="2563" max="2563" width="9.453125" customWidth="1"/>
    <col min="2564" max="2564" width="2.453125" customWidth="1"/>
    <col min="2565" max="2565" width="12.90625" customWidth="1"/>
    <col min="2566" max="2566" width="2" bestFit="1" customWidth="1"/>
    <col min="2567" max="2567" width="4.54296875" customWidth="1"/>
    <col min="2568" max="2568" width="2.08984375" bestFit="1" customWidth="1"/>
    <col min="2569" max="2569" width="9.453125" customWidth="1"/>
    <col min="2570" max="2570" width="3.453125" bestFit="1" customWidth="1"/>
    <col min="2571" max="2571" width="13" customWidth="1"/>
    <col min="2572" max="2572" width="14.54296875" customWidth="1"/>
    <col min="2817" max="2817" width="4.453125" customWidth="1"/>
    <col min="2818" max="2818" width="23.453125" customWidth="1"/>
    <col min="2819" max="2819" width="9.453125" customWidth="1"/>
    <col min="2820" max="2820" width="2.453125" customWidth="1"/>
    <col min="2821" max="2821" width="12.90625" customWidth="1"/>
    <col min="2822" max="2822" width="2" bestFit="1" customWidth="1"/>
    <col min="2823" max="2823" width="4.54296875" customWidth="1"/>
    <col min="2824" max="2824" width="2.08984375" bestFit="1" customWidth="1"/>
    <col min="2825" max="2825" width="9.453125" customWidth="1"/>
    <col min="2826" max="2826" width="3.453125" bestFit="1" customWidth="1"/>
    <col min="2827" max="2827" width="13" customWidth="1"/>
    <col min="2828" max="2828" width="14.54296875" customWidth="1"/>
    <col min="3073" max="3073" width="4.453125" customWidth="1"/>
    <col min="3074" max="3074" width="23.453125" customWidth="1"/>
    <col min="3075" max="3075" width="9.453125" customWidth="1"/>
    <col min="3076" max="3076" width="2.453125" customWidth="1"/>
    <col min="3077" max="3077" width="12.90625" customWidth="1"/>
    <col min="3078" max="3078" width="2" bestFit="1" customWidth="1"/>
    <col min="3079" max="3079" width="4.54296875" customWidth="1"/>
    <col min="3080" max="3080" width="2.08984375" bestFit="1" customWidth="1"/>
    <col min="3081" max="3081" width="9.453125" customWidth="1"/>
    <col min="3082" max="3082" width="3.453125" bestFit="1" customWidth="1"/>
    <col min="3083" max="3083" width="13" customWidth="1"/>
    <col min="3084" max="3084" width="14.54296875" customWidth="1"/>
    <col min="3329" max="3329" width="4.453125" customWidth="1"/>
    <col min="3330" max="3330" width="23.453125" customWidth="1"/>
    <col min="3331" max="3331" width="9.453125" customWidth="1"/>
    <col min="3332" max="3332" width="2.453125" customWidth="1"/>
    <col min="3333" max="3333" width="12.90625" customWidth="1"/>
    <col min="3334" max="3334" width="2" bestFit="1" customWidth="1"/>
    <col min="3335" max="3335" width="4.54296875" customWidth="1"/>
    <col min="3336" max="3336" width="2.08984375" bestFit="1" customWidth="1"/>
    <col min="3337" max="3337" width="9.453125" customWidth="1"/>
    <col min="3338" max="3338" width="3.453125" bestFit="1" customWidth="1"/>
    <col min="3339" max="3339" width="13" customWidth="1"/>
    <col min="3340" max="3340" width="14.54296875" customWidth="1"/>
    <col min="3585" max="3585" width="4.453125" customWidth="1"/>
    <col min="3586" max="3586" width="23.453125" customWidth="1"/>
    <col min="3587" max="3587" width="9.453125" customWidth="1"/>
    <col min="3588" max="3588" width="2.453125" customWidth="1"/>
    <col min="3589" max="3589" width="12.90625" customWidth="1"/>
    <col min="3590" max="3590" width="2" bestFit="1" customWidth="1"/>
    <col min="3591" max="3591" width="4.54296875" customWidth="1"/>
    <col min="3592" max="3592" width="2.08984375" bestFit="1" customWidth="1"/>
    <col min="3593" max="3593" width="9.453125" customWidth="1"/>
    <col min="3594" max="3594" width="3.453125" bestFit="1" customWidth="1"/>
    <col min="3595" max="3595" width="13" customWidth="1"/>
    <col min="3596" max="3596" width="14.54296875" customWidth="1"/>
    <col min="3841" max="3841" width="4.453125" customWidth="1"/>
    <col min="3842" max="3842" width="23.453125" customWidth="1"/>
    <col min="3843" max="3843" width="9.453125" customWidth="1"/>
    <col min="3844" max="3844" width="2.453125" customWidth="1"/>
    <col min="3845" max="3845" width="12.90625" customWidth="1"/>
    <col min="3846" max="3846" width="2" bestFit="1" customWidth="1"/>
    <col min="3847" max="3847" width="4.54296875" customWidth="1"/>
    <col min="3848" max="3848" width="2.08984375" bestFit="1" customWidth="1"/>
    <col min="3849" max="3849" width="9.453125" customWidth="1"/>
    <col min="3850" max="3850" width="3.453125" bestFit="1" customWidth="1"/>
    <col min="3851" max="3851" width="13" customWidth="1"/>
    <col min="3852" max="3852" width="14.54296875" customWidth="1"/>
    <col min="4097" max="4097" width="4.453125" customWidth="1"/>
    <col min="4098" max="4098" width="23.453125" customWidth="1"/>
    <col min="4099" max="4099" width="9.453125" customWidth="1"/>
    <col min="4100" max="4100" width="2.453125" customWidth="1"/>
    <col min="4101" max="4101" width="12.90625" customWidth="1"/>
    <col min="4102" max="4102" width="2" bestFit="1" customWidth="1"/>
    <col min="4103" max="4103" width="4.54296875" customWidth="1"/>
    <col min="4104" max="4104" width="2.08984375" bestFit="1" customWidth="1"/>
    <col min="4105" max="4105" width="9.453125" customWidth="1"/>
    <col min="4106" max="4106" width="3.453125" bestFit="1" customWidth="1"/>
    <col min="4107" max="4107" width="13" customWidth="1"/>
    <col min="4108" max="4108" width="14.54296875" customWidth="1"/>
    <col min="4353" max="4353" width="4.453125" customWidth="1"/>
    <col min="4354" max="4354" width="23.453125" customWidth="1"/>
    <col min="4355" max="4355" width="9.453125" customWidth="1"/>
    <col min="4356" max="4356" width="2.453125" customWidth="1"/>
    <col min="4357" max="4357" width="12.90625" customWidth="1"/>
    <col min="4358" max="4358" width="2" bestFit="1" customWidth="1"/>
    <col min="4359" max="4359" width="4.54296875" customWidth="1"/>
    <col min="4360" max="4360" width="2.08984375" bestFit="1" customWidth="1"/>
    <col min="4361" max="4361" width="9.453125" customWidth="1"/>
    <col min="4362" max="4362" width="3.453125" bestFit="1" customWidth="1"/>
    <col min="4363" max="4363" width="13" customWidth="1"/>
    <col min="4364" max="4364" width="14.54296875" customWidth="1"/>
    <col min="4609" max="4609" width="4.453125" customWidth="1"/>
    <col min="4610" max="4610" width="23.453125" customWidth="1"/>
    <col min="4611" max="4611" width="9.453125" customWidth="1"/>
    <col min="4612" max="4612" width="2.453125" customWidth="1"/>
    <col min="4613" max="4613" width="12.90625" customWidth="1"/>
    <col min="4614" max="4614" width="2" bestFit="1" customWidth="1"/>
    <col min="4615" max="4615" width="4.54296875" customWidth="1"/>
    <col min="4616" max="4616" width="2.08984375" bestFit="1" customWidth="1"/>
    <col min="4617" max="4617" width="9.453125" customWidth="1"/>
    <col min="4618" max="4618" width="3.453125" bestFit="1" customWidth="1"/>
    <col min="4619" max="4619" width="13" customWidth="1"/>
    <col min="4620" max="4620" width="14.54296875" customWidth="1"/>
    <col min="4865" max="4865" width="4.453125" customWidth="1"/>
    <col min="4866" max="4866" width="23.453125" customWidth="1"/>
    <col min="4867" max="4867" width="9.453125" customWidth="1"/>
    <col min="4868" max="4868" width="2.453125" customWidth="1"/>
    <col min="4869" max="4869" width="12.90625" customWidth="1"/>
    <col min="4870" max="4870" width="2" bestFit="1" customWidth="1"/>
    <col min="4871" max="4871" width="4.54296875" customWidth="1"/>
    <col min="4872" max="4872" width="2.08984375" bestFit="1" customWidth="1"/>
    <col min="4873" max="4873" width="9.453125" customWidth="1"/>
    <col min="4874" max="4874" width="3.453125" bestFit="1" customWidth="1"/>
    <col min="4875" max="4875" width="13" customWidth="1"/>
    <col min="4876" max="4876" width="14.54296875" customWidth="1"/>
    <col min="5121" max="5121" width="4.453125" customWidth="1"/>
    <col min="5122" max="5122" width="23.453125" customWidth="1"/>
    <col min="5123" max="5123" width="9.453125" customWidth="1"/>
    <col min="5124" max="5124" width="2.453125" customWidth="1"/>
    <col min="5125" max="5125" width="12.90625" customWidth="1"/>
    <col min="5126" max="5126" width="2" bestFit="1" customWidth="1"/>
    <col min="5127" max="5127" width="4.54296875" customWidth="1"/>
    <col min="5128" max="5128" width="2.08984375" bestFit="1" customWidth="1"/>
    <col min="5129" max="5129" width="9.453125" customWidth="1"/>
    <col min="5130" max="5130" width="3.453125" bestFit="1" customWidth="1"/>
    <col min="5131" max="5131" width="13" customWidth="1"/>
    <col min="5132" max="5132" width="14.54296875" customWidth="1"/>
    <col min="5377" max="5377" width="4.453125" customWidth="1"/>
    <col min="5378" max="5378" width="23.453125" customWidth="1"/>
    <col min="5379" max="5379" width="9.453125" customWidth="1"/>
    <col min="5380" max="5380" width="2.453125" customWidth="1"/>
    <col min="5381" max="5381" width="12.90625" customWidth="1"/>
    <col min="5382" max="5382" width="2" bestFit="1" customWidth="1"/>
    <col min="5383" max="5383" width="4.54296875" customWidth="1"/>
    <col min="5384" max="5384" width="2.08984375" bestFit="1" customWidth="1"/>
    <col min="5385" max="5385" width="9.453125" customWidth="1"/>
    <col min="5386" max="5386" width="3.453125" bestFit="1" customWidth="1"/>
    <col min="5387" max="5387" width="13" customWidth="1"/>
    <col min="5388" max="5388" width="14.54296875" customWidth="1"/>
    <col min="5633" max="5633" width="4.453125" customWidth="1"/>
    <col min="5634" max="5634" width="23.453125" customWidth="1"/>
    <col min="5635" max="5635" width="9.453125" customWidth="1"/>
    <col min="5636" max="5636" width="2.453125" customWidth="1"/>
    <col min="5637" max="5637" width="12.90625" customWidth="1"/>
    <col min="5638" max="5638" width="2" bestFit="1" customWidth="1"/>
    <col min="5639" max="5639" width="4.54296875" customWidth="1"/>
    <col min="5640" max="5640" width="2.08984375" bestFit="1" customWidth="1"/>
    <col min="5641" max="5641" width="9.453125" customWidth="1"/>
    <col min="5642" max="5642" width="3.453125" bestFit="1" customWidth="1"/>
    <col min="5643" max="5643" width="13" customWidth="1"/>
    <col min="5644" max="5644" width="14.54296875" customWidth="1"/>
    <col min="5889" max="5889" width="4.453125" customWidth="1"/>
    <col min="5890" max="5890" width="23.453125" customWidth="1"/>
    <col min="5891" max="5891" width="9.453125" customWidth="1"/>
    <col min="5892" max="5892" width="2.453125" customWidth="1"/>
    <col min="5893" max="5893" width="12.90625" customWidth="1"/>
    <col min="5894" max="5894" width="2" bestFit="1" customWidth="1"/>
    <col min="5895" max="5895" width="4.54296875" customWidth="1"/>
    <col min="5896" max="5896" width="2.08984375" bestFit="1" customWidth="1"/>
    <col min="5897" max="5897" width="9.453125" customWidth="1"/>
    <col min="5898" max="5898" width="3.453125" bestFit="1" customWidth="1"/>
    <col min="5899" max="5899" width="13" customWidth="1"/>
    <col min="5900" max="5900" width="14.54296875" customWidth="1"/>
    <col min="6145" max="6145" width="4.453125" customWidth="1"/>
    <col min="6146" max="6146" width="23.453125" customWidth="1"/>
    <col min="6147" max="6147" width="9.453125" customWidth="1"/>
    <col min="6148" max="6148" width="2.453125" customWidth="1"/>
    <col min="6149" max="6149" width="12.90625" customWidth="1"/>
    <col min="6150" max="6150" width="2" bestFit="1" customWidth="1"/>
    <col min="6151" max="6151" width="4.54296875" customWidth="1"/>
    <col min="6152" max="6152" width="2.08984375" bestFit="1" customWidth="1"/>
    <col min="6153" max="6153" width="9.453125" customWidth="1"/>
    <col min="6154" max="6154" width="3.453125" bestFit="1" customWidth="1"/>
    <col min="6155" max="6155" width="13" customWidth="1"/>
    <col min="6156" max="6156" width="14.54296875" customWidth="1"/>
    <col min="6401" max="6401" width="4.453125" customWidth="1"/>
    <col min="6402" max="6402" width="23.453125" customWidth="1"/>
    <col min="6403" max="6403" width="9.453125" customWidth="1"/>
    <col min="6404" max="6404" width="2.453125" customWidth="1"/>
    <col min="6405" max="6405" width="12.90625" customWidth="1"/>
    <col min="6406" max="6406" width="2" bestFit="1" customWidth="1"/>
    <col min="6407" max="6407" width="4.54296875" customWidth="1"/>
    <col min="6408" max="6408" width="2.08984375" bestFit="1" customWidth="1"/>
    <col min="6409" max="6409" width="9.453125" customWidth="1"/>
    <col min="6410" max="6410" width="3.453125" bestFit="1" customWidth="1"/>
    <col min="6411" max="6411" width="13" customWidth="1"/>
    <col min="6412" max="6412" width="14.54296875" customWidth="1"/>
    <col min="6657" max="6657" width="4.453125" customWidth="1"/>
    <col min="6658" max="6658" width="23.453125" customWidth="1"/>
    <col min="6659" max="6659" width="9.453125" customWidth="1"/>
    <col min="6660" max="6660" width="2.453125" customWidth="1"/>
    <col min="6661" max="6661" width="12.90625" customWidth="1"/>
    <col min="6662" max="6662" width="2" bestFit="1" customWidth="1"/>
    <col min="6663" max="6663" width="4.54296875" customWidth="1"/>
    <col min="6664" max="6664" width="2.08984375" bestFit="1" customWidth="1"/>
    <col min="6665" max="6665" width="9.453125" customWidth="1"/>
    <col min="6666" max="6666" width="3.453125" bestFit="1" customWidth="1"/>
    <col min="6667" max="6667" width="13" customWidth="1"/>
    <col min="6668" max="6668" width="14.54296875" customWidth="1"/>
    <col min="6913" max="6913" width="4.453125" customWidth="1"/>
    <col min="6914" max="6914" width="23.453125" customWidth="1"/>
    <col min="6915" max="6915" width="9.453125" customWidth="1"/>
    <col min="6916" max="6916" width="2.453125" customWidth="1"/>
    <col min="6917" max="6917" width="12.90625" customWidth="1"/>
    <col min="6918" max="6918" width="2" bestFit="1" customWidth="1"/>
    <col min="6919" max="6919" width="4.54296875" customWidth="1"/>
    <col min="6920" max="6920" width="2.08984375" bestFit="1" customWidth="1"/>
    <col min="6921" max="6921" width="9.453125" customWidth="1"/>
    <col min="6922" max="6922" width="3.453125" bestFit="1" customWidth="1"/>
    <col min="6923" max="6923" width="13" customWidth="1"/>
    <col min="6924" max="6924" width="14.54296875" customWidth="1"/>
    <col min="7169" max="7169" width="4.453125" customWidth="1"/>
    <col min="7170" max="7170" width="23.453125" customWidth="1"/>
    <col min="7171" max="7171" width="9.453125" customWidth="1"/>
    <col min="7172" max="7172" width="2.453125" customWidth="1"/>
    <col min="7173" max="7173" width="12.90625" customWidth="1"/>
    <col min="7174" max="7174" width="2" bestFit="1" customWidth="1"/>
    <col min="7175" max="7175" width="4.54296875" customWidth="1"/>
    <col min="7176" max="7176" width="2.08984375" bestFit="1" customWidth="1"/>
    <col min="7177" max="7177" width="9.453125" customWidth="1"/>
    <col min="7178" max="7178" width="3.453125" bestFit="1" customWidth="1"/>
    <col min="7179" max="7179" width="13" customWidth="1"/>
    <col min="7180" max="7180" width="14.54296875" customWidth="1"/>
    <col min="7425" max="7425" width="4.453125" customWidth="1"/>
    <col min="7426" max="7426" width="23.453125" customWidth="1"/>
    <col min="7427" max="7427" width="9.453125" customWidth="1"/>
    <col min="7428" max="7428" width="2.453125" customWidth="1"/>
    <col min="7429" max="7429" width="12.90625" customWidth="1"/>
    <col min="7430" max="7430" width="2" bestFit="1" customWidth="1"/>
    <col min="7431" max="7431" width="4.54296875" customWidth="1"/>
    <col min="7432" max="7432" width="2.08984375" bestFit="1" customWidth="1"/>
    <col min="7433" max="7433" width="9.453125" customWidth="1"/>
    <col min="7434" max="7434" width="3.453125" bestFit="1" customWidth="1"/>
    <col min="7435" max="7435" width="13" customWidth="1"/>
    <col min="7436" max="7436" width="14.54296875" customWidth="1"/>
    <col min="7681" max="7681" width="4.453125" customWidth="1"/>
    <col min="7682" max="7682" width="23.453125" customWidth="1"/>
    <col min="7683" max="7683" width="9.453125" customWidth="1"/>
    <col min="7684" max="7684" width="2.453125" customWidth="1"/>
    <col min="7685" max="7685" width="12.90625" customWidth="1"/>
    <col min="7686" max="7686" width="2" bestFit="1" customWidth="1"/>
    <col min="7687" max="7687" width="4.54296875" customWidth="1"/>
    <col min="7688" max="7688" width="2.08984375" bestFit="1" customWidth="1"/>
    <col min="7689" max="7689" width="9.453125" customWidth="1"/>
    <col min="7690" max="7690" width="3.453125" bestFit="1" customWidth="1"/>
    <col min="7691" max="7691" width="13" customWidth="1"/>
    <col min="7692" max="7692" width="14.54296875" customWidth="1"/>
    <col min="7937" max="7937" width="4.453125" customWidth="1"/>
    <col min="7938" max="7938" width="23.453125" customWidth="1"/>
    <col min="7939" max="7939" width="9.453125" customWidth="1"/>
    <col min="7940" max="7940" width="2.453125" customWidth="1"/>
    <col min="7941" max="7941" width="12.90625" customWidth="1"/>
    <col min="7942" max="7942" width="2" bestFit="1" customWidth="1"/>
    <col min="7943" max="7943" width="4.54296875" customWidth="1"/>
    <col min="7944" max="7944" width="2.08984375" bestFit="1" customWidth="1"/>
    <col min="7945" max="7945" width="9.453125" customWidth="1"/>
    <col min="7946" max="7946" width="3.453125" bestFit="1" customWidth="1"/>
    <col min="7947" max="7947" width="13" customWidth="1"/>
    <col min="7948" max="7948" width="14.54296875" customWidth="1"/>
    <col min="8193" max="8193" width="4.453125" customWidth="1"/>
    <col min="8194" max="8194" width="23.453125" customWidth="1"/>
    <col min="8195" max="8195" width="9.453125" customWidth="1"/>
    <col min="8196" max="8196" width="2.453125" customWidth="1"/>
    <col min="8197" max="8197" width="12.90625" customWidth="1"/>
    <col min="8198" max="8198" width="2" bestFit="1" customWidth="1"/>
    <col min="8199" max="8199" width="4.54296875" customWidth="1"/>
    <col min="8200" max="8200" width="2.08984375" bestFit="1" customWidth="1"/>
    <col min="8201" max="8201" width="9.453125" customWidth="1"/>
    <col min="8202" max="8202" width="3.453125" bestFit="1" customWidth="1"/>
    <col min="8203" max="8203" width="13" customWidth="1"/>
    <col min="8204" max="8204" width="14.54296875" customWidth="1"/>
    <col min="8449" max="8449" width="4.453125" customWidth="1"/>
    <col min="8450" max="8450" width="23.453125" customWidth="1"/>
    <col min="8451" max="8451" width="9.453125" customWidth="1"/>
    <col min="8452" max="8452" width="2.453125" customWidth="1"/>
    <col min="8453" max="8453" width="12.90625" customWidth="1"/>
    <col min="8454" max="8454" width="2" bestFit="1" customWidth="1"/>
    <col min="8455" max="8455" width="4.54296875" customWidth="1"/>
    <col min="8456" max="8456" width="2.08984375" bestFit="1" customWidth="1"/>
    <col min="8457" max="8457" width="9.453125" customWidth="1"/>
    <col min="8458" max="8458" width="3.453125" bestFit="1" customWidth="1"/>
    <col min="8459" max="8459" width="13" customWidth="1"/>
    <col min="8460" max="8460" width="14.54296875" customWidth="1"/>
    <col min="8705" max="8705" width="4.453125" customWidth="1"/>
    <col min="8706" max="8706" width="23.453125" customWidth="1"/>
    <col min="8707" max="8707" width="9.453125" customWidth="1"/>
    <col min="8708" max="8708" width="2.453125" customWidth="1"/>
    <col min="8709" max="8709" width="12.90625" customWidth="1"/>
    <col min="8710" max="8710" width="2" bestFit="1" customWidth="1"/>
    <col min="8711" max="8711" width="4.54296875" customWidth="1"/>
    <col min="8712" max="8712" width="2.08984375" bestFit="1" customWidth="1"/>
    <col min="8713" max="8713" width="9.453125" customWidth="1"/>
    <col min="8714" max="8714" width="3.453125" bestFit="1" customWidth="1"/>
    <col min="8715" max="8715" width="13" customWidth="1"/>
    <col min="8716" max="8716" width="14.54296875" customWidth="1"/>
    <col min="8961" max="8961" width="4.453125" customWidth="1"/>
    <col min="8962" max="8962" width="23.453125" customWidth="1"/>
    <col min="8963" max="8963" width="9.453125" customWidth="1"/>
    <col min="8964" max="8964" width="2.453125" customWidth="1"/>
    <col min="8965" max="8965" width="12.90625" customWidth="1"/>
    <col min="8966" max="8966" width="2" bestFit="1" customWidth="1"/>
    <col min="8967" max="8967" width="4.54296875" customWidth="1"/>
    <col min="8968" max="8968" width="2.08984375" bestFit="1" customWidth="1"/>
    <col min="8969" max="8969" width="9.453125" customWidth="1"/>
    <col min="8970" max="8970" width="3.453125" bestFit="1" customWidth="1"/>
    <col min="8971" max="8971" width="13" customWidth="1"/>
    <col min="8972" max="8972" width="14.54296875" customWidth="1"/>
    <col min="9217" max="9217" width="4.453125" customWidth="1"/>
    <col min="9218" max="9218" width="23.453125" customWidth="1"/>
    <col min="9219" max="9219" width="9.453125" customWidth="1"/>
    <col min="9220" max="9220" width="2.453125" customWidth="1"/>
    <col min="9221" max="9221" width="12.90625" customWidth="1"/>
    <col min="9222" max="9222" width="2" bestFit="1" customWidth="1"/>
    <col min="9223" max="9223" width="4.54296875" customWidth="1"/>
    <col min="9224" max="9224" width="2.08984375" bestFit="1" customWidth="1"/>
    <col min="9225" max="9225" width="9.453125" customWidth="1"/>
    <col min="9226" max="9226" width="3.453125" bestFit="1" customWidth="1"/>
    <col min="9227" max="9227" width="13" customWidth="1"/>
    <col min="9228" max="9228" width="14.54296875" customWidth="1"/>
    <col min="9473" max="9473" width="4.453125" customWidth="1"/>
    <col min="9474" max="9474" width="23.453125" customWidth="1"/>
    <col min="9475" max="9475" width="9.453125" customWidth="1"/>
    <col min="9476" max="9476" width="2.453125" customWidth="1"/>
    <col min="9477" max="9477" width="12.90625" customWidth="1"/>
    <col min="9478" max="9478" width="2" bestFit="1" customWidth="1"/>
    <col min="9479" max="9479" width="4.54296875" customWidth="1"/>
    <col min="9480" max="9480" width="2.08984375" bestFit="1" customWidth="1"/>
    <col min="9481" max="9481" width="9.453125" customWidth="1"/>
    <col min="9482" max="9482" width="3.453125" bestFit="1" customWidth="1"/>
    <col min="9483" max="9483" width="13" customWidth="1"/>
    <col min="9484" max="9484" width="14.54296875" customWidth="1"/>
    <col min="9729" max="9729" width="4.453125" customWidth="1"/>
    <col min="9730" max="9730" width="23.453125" customWidth="1"/>
    <col min="9731" max="9731" width="9.453125" customWidth="1"/>
    <col min="9732" max="9732" width="2.453125" customWidth="1"/>
    <col min="9733" max="9733" width="12.90625" customWidth="1"/>
    <col min="9734" max="9734" width="2" bestFit="1" customWidth="1"/>
    <col min="9735" max="9735" width="4.54296875" customWidth="1"/>
    <col min="9736" max="9736" width="2.08984375" bestFit="1" customWidth="1"/>
    <col min="9737" max="9737" width="9.453125" customWidth="1"/>
    <col min="9738" max="9738" width="3.453125" bestFit="1" customWidth="1"/>
    <col min="9739" max="9739" width="13" customWidth="1"/>
    <col min="9740" max="9740" width="14.54296875" customWidth="1"/>
    <col min="9985" max="9985" width="4.453125" customWidth="1"/>
    <col min="9986" max="9986" width="23.453125" customWidth="1"/>
    <col min="9987" max="9987" width="9.453125" customWidth="1"/>
    <col min="9988" max="9988" width="2.453125" customWidth="1"/>
    <col min="9989" max="9989" width="12.90625" customWidth="1"/>
    <col min="9990" max="9990" width="2" bestFit="1" customWidth="1"/>
    <col min="9991" max="9991" width="4.54296875" customWidth="1"/>
    <col min="9992" max="9992" width="2.08984375" bestFit="1" customWidth="1"/>
    <col min="9993" max="9993" width="9.453125" customWidth="1"/>
    <col min="9994" max="9994" width="3.453125" bestFit="1" customWidth="1"/>
    <col min="9995" max="9995" width="13" customWidth="1"/>
    <col min="9996" max="9996" width="14.54296875" customWidth="1"/>
    <col min="10241" max="10241" width="4.453125" customWidth="1"/>
    <col min="10242" max="10242" width="23.453125" customWidth="1"/>
    <col min="10243" max="10243" width="9.453125" customWidth="1"/>
    <col min="10244" max="10244" width="2.453125" customWidth="1"/>
    <col min="10245" max="10245" width="12.90625" customWidth="1"/>
    <col min="10246" max="10246" width="2" bestFit="1" customWidth="1"/>
    <col min="10247" max="10247" width="4.54296875" customWidth="1"/>
    <col min="10248" max="10248" width="2.08984375" bestFit="1" customWidth="1"/>
    <col min="10249" max="10249" width="9.453125" customWidth="1"/>
    <col min="10250" max="10250" width="3.453125" bestFit="1" customWidth="1"/>
    <col min="10251" max="10251" width="13" customWidth="1"/>
    <col min="10252" max="10252" width="14.54296875" customWidth="1"/>
    <col min="10497" max="10497" width="4.453125" customWidth="1"/>
    <col min="10498" max="10498" width="23.453125" customWidth="1"/>
    <col min="10499" max="10499" width="9.453125" customWidth="1"/>
    <col min="10500" max="10500" width="2.453125" customWidth="1"/>
    <col min="10501" max="10501" width="12.90625" customWidth="1"/>
    <col min="10502" max="10502" width="2" bestFit="1" customWidth="1"/>
    <col min="10503" max="10503" width="4.54296875" customWidth="1"/>
    <col min="10504" max="10504" width="2.08984375" bestFit="1" customWidth="1"/>
    <col min="10505" max="10505" width="9.453125" customWidth="1"/>
    <col min="10506" max="10506" width="3.453125" bestFit="1" customWidth="1"/>
    <col min="10507" max="10507" width="13" customWidth="1"/>
    <col min="10508" max="10508" width="14.54296875" customWidth="1"/>
    <col min="10753" max="10753" width="4.453125" customWidth="1"/>
    <col min="10754" max="10754" width="23.453125" customWidth="1"/>
    <col min="10755" max="10755" width="9.453125" customWidth="1"/>
    <col min="10756" max="10756" width="2.453125" customWidth="1"/>
    <col min="10757" max="10757" width="12.90625" customWidth="1"/>
    <col min="10758" max="10758" width="2" bestFit="1" customWidth="1"/>
    <col min="10759" max="10759" width="4.54296875" customWidth="1"/>
    <col min="10760" max="10760" width="2.08984375" bestFit="1" customWidth="1"/>
    <col min="10761" max="10761" width="9.453125" customWidth="1"/>
    <col min="10762" max="10762" width="3.453125" bestFit="1" customWidth="1"/>
    <col min="10763" max="10763" width="13" customWidth="1"/>
    <col min="10764" max="10764" width="14.54296875" customWidth="1"/>
    <col min="11009" max="11009" width="4.453125" customWidth="1"/>
    <col min="11010" max="11010" width="23.453125" customWidth="1"/>
    <col min="11011" max="11011" width="9.453125" customWidth="1"/>
    <col min="11012" max="11012" width="2.453125" customWidth="1"/>
    <col min="11013" max="11013" width="12.90625" customWidth="1"/>
    <col min="11014" max="11014" width="2" bestFit="1" customWidth="1"/>
    <col min="11015" max="11015" width="4.54296875" customWidth="1"/>
    <col min="11016" max="11016" width="2.08984375" bestFit="1" customWidth="1"/>
    <col min="11017" max="11017" width="9.453125" customWidth="1"/>
    <col min="11018" max="11018" width="3.453125" bestFit="1" customWidth="1"/>
    <col min="11019" max="11019" width="13" customWidth="1"/>
    <col min="11020" max="11020" width="14.54296875" customWidth="1"/>
    <col min="11265" max="11265" width="4.453125" customWidth="1"/>
    <col min="11266" max="11266" width="23.453125" customWidth="1"/>
    <col min="11267" max="11267" width="9.453125" customWidth="1"/>
    <col min="11268" max="11268" width="2.453125" customWidth="1"/>
    <col min="11269" max="11269" width="12.90625" customWidth="1"/>
    <col min="11270" max="11270" width="2" bestFit="1" customWidth="1"/>
    <col min="11271" max="11271" width="4.54296875" customWidth="1"/>
    <col min="11272" max="11272" width="2.08984375" bestFit="1" customWidth="1"/>
    <col min="11273" max="11273" width="9.453125" customWidth="1"/>
    <col min="11274" max="11274" width="3.453125" bestFit="1" customWidth="1"/>
    <col min="11275" max="11275" width="13" customWidth="1"/>
    <col min="11276" max="11276" width="14.54296875" customWidth="1"/>
    <col min="11521" max="11521" width="4.453125" customWidth="1"/>
    <col min="11522" max="11522" width="23.453125" customWidth="1"/>
    <col min="11523" max="11523" width="9.453125" customWidth="1"/>
    <col min="11524" max="11524" width="2.453125" customWidth="1"/>
    <col min="11525" max="11525" width="12.90625" customWidth="1"/>
    <col min="11526" max="11526" width="2" bestFit="1" customWidth="1"/>
    <col min="11527" max="11527" width="4.54296875" customWidth="1"/>
    <col min="11528" max="11528" width="2.08984375" bestFit="1" customWidth="1"/>
    <col min="11529" max="11529" width="9.453125" customWidth="1"/>
    <col min="11530" max="11530" width="3.453125" bestFit="1" customWidth="1"/>
    <col min="11531" max="11531" width="13" customWidth="1"/>
    <col min="11532" max="11532" width="14.54296875" customWidth="1"/>
    <col min="11777" max="11777" width="4.453125" customWidth="1"/>
    <col min="11778" max="11778" width="23.453125" customWidth="1"/>
    <col min="11779" max="11779" width="9.453125" customWidth="1"/>
    <col min="11780" max="11780" width="2.453125" customWidth="1"/>
    <col min="11781" max="11781" width="12.90625" customWidth="1"/>
    <col min="11782" max="11782" width="2" bestFit="1" customWidth="1"/>
    <col min="11783" max="11783" width="4.54296875" customWidth="1"/>
    <col min="11784" max="11784" width="2.08984375" bestFit="1" customWidth="1"/>
    <col min="11785" max="11785" width="9.453125" customWidth="1"/>
    <col min="11786" max="11786" width="3.453125" bestFit="1" customWidth="1"/>
    <col min="11787" max="11787" width="13" customWidth="1"/>
    <col min="11788" max="11788" width="14.54296875" customWidth="1"/>
    <col min="12033" max="12033" width="4.453125" customWidth="1"/>
    <col min="12034" max="12034" width="23.453125" customWidth="1"/>
    <col min="12035" max="12035" width="9.453125" customWidth="1"/>
    <col min="12036" max="12036" width="2.453125" customWidth="1"/>
    <col min="12037" max="12037" width="12.90625" customWidth="1"/>
    <col min="12038" max="12038" width="2" bestFit="1" customWidth="1"/>
    <col min="12039" max="12039" width="4.54296875" customWidth="1"/>
    <col min="12040" max="12040" width="2.08984375" bestFit="1" customWidth="1"/>
    <col min="12041" max="12041" width="9.453125" customWidth="1"/>
    <col min="12042" max="12042" width="3.453125" bestFit="1" customWidth="1"/>
    <col min="12043" max="12043" width="13" customWidth="1"/>
    <col min="12044" max="12044" width="14.54296875" customWidth="1"/>
    <col min="12289" max="12289" width="4.453125" customWidth="1"/>
    <col min="12290" max="12290" width="23.453125" customWidth="1"/>
    <col min="12291" max="12291" width="9.453125" customWidth="1"/>
    <col min="12292" max="12292" width="2.453125" customWidth="1"/>
    <col min="12293" max="12293" width="12.90625" customWidth="1"/>
    <col min="12294" max="12294" width="2" bestFit="1" customWidth="1"/>
    <col min="12295" max="12295" width="4.54296875" customWidth="1"/>
    <col min="12296" max="12296" width="2.08984375" bestFit="1" customWidth="1"/>
    <col min="12297" max="12297" width="9.453125" customWidth="1"/>
    <col min="12298" max="12298" width="3.453125" bestFit="1" customWidth="1"/>
    <col min="12299" max="12299" width="13" customWidth="1"/>
    <col min="12300" max="12300" width="14.54296875" customWidth="1"/>
    <col min="12545" max="12545" width="4.453125" customWidth="1"/>
    <col min="12546" max="12546" width="23.453125" customWidth="1"/>
    <col min="12547" max="12547" width="9.453125" customWidth="1"/>
    <col min="12548" max="12548" width="2.453125" customWidth="1"/>
    <col min="12549" max="12549" width="12.90625" customWidth="1"/>
    <col min="12550" max="12550" width="2" bestFit="1" customWidth="1"/>
    <col min="12551" max="12551" width="4.54296875" customWidth="1"/>
    <col min="12552" max="12552" width="2.08984375" bestFit="1" customWidth="1"/>
    <col min="12553" max="12553" width="9.453125" customWidth="1"/>
    <col min="12554" max="12554" width="3.453125" bestFit="1" customWidth="1"/>
    <col min="12555" max="12555" width="13" customWidth="1"/>
    <col min="12556" max="12556" width="14.54296875" customWidth="1"/>
    <col min="12801" max="12801" width="4.453125" customWidth="1"/>
    <col min="12802" max="12802" width="23.453125" customWidth="1"/>
    <col min="12803" max="12803" width="9.453125" customWidth="1"/>
    <col min="12804" max="12804" width="2.453125" customWidth="1"/>
    <col min="12805" max="12805" width="12.90625" customWidth="1"/>
    <col min="12806" max="12806" width="2" bestFit="1" customWidth="1"/>
    <col min="12807" max="12807" width="4.54296875" customWidth="1"/>
    <col min="12808" max="12808" width="2.08984375" bestFit="1" customWidth="1"/>
    <col min="12809" max="12809" width="9.453125" customWidth="1"/>
    <col min="12810" max="12810" width="3.453125" bestFit="1" customWidth="1"/>
    <col min="12811" max="12811" width="13" customWidth="1"/>
    <col min="12812" max="12812" width="14.54296875" customWidth="1"/>
    <col min="13057" max="13057" width="4.453125" customWidth="1"/>
    <col min="13058" max="13058" width="23.453125" customWidth="1"/>
    <col min="13059" max="13059" width="9.453125" customWidth="1"/>
    <col min="13060" max="13060" width="2.453125" customWidth="1"/>
    <col min="13061" max="13061" width="12.90625" customWidth="1"/>
    <col min="13062" max="13062" width="2" bestFit="1" customWidth="1"/>
    <col min="13063" max="13063" width="4.54296875" customWidth="1"/>
    <col min="13064" max="13064" width="2.08984375" bestFit="1" customWidth="1"/>
    <col min="13065" max="13065" width="9.453125" customWidth="1"/>
    <col min="13066" max="13066" width="3.453125" bestFit="1" customWidth="1"/>
    <col min="13067" max="13067" width="13" customWidth="1"/>
    <col min="13068" max="13068" width="14.54296875" customWidth="1"/>
    <col min="13313" max="13313" width="4.453125" customWidth="1"/>
    <col min="13314" max="13314" width="23.453125" customWidth="1"/>
    <col min="13315" max="13315" width="9.453125" customWidth="1"/>
    <col min="13316" max="13316" width="2.453125" customWidth="1"/>
    <col min="13317" max="13317" width="12.90625" customWidth="1"/>
    <col min="13318" max="13318" width="2" bestFit="1" customWidth="1"/>
    <col min="13319" max="13319" width="4.54296875" customWidth="1"/>
    <col min="13320" max="13320" width="2.08984375" bestFit="1" customWidth="1"/>
    <col min="13321" max="13321" width="9.453125" customWidth="1"/>
    <col min="13322" max="13322" width="3.453125" bestFit="1" customWidth="1"/>
    <col min="13323" max="13323" width="13" customWidth="1"/>
    <col min="13324" max="13324" width="14.54296875" customWidth="1"/>
    <col min="13569" max="13569" width="4.453125" customWidth="1"/>
    <col min="13570" max="13570" width="23.453125" customWidth="1"/>
    <col min="13571" max="13571" width="9.453125" customWidth="1"/>
    <col min="13572" max="13572" width="2.453125" customWidth="1"/>
    <col min="13573" max="13573" width="12.90625" customWidth="1"/>
    <col min="13574" max="13574" width="2" bestFit="1" customWidth="1"/>
    <col min="13575" max="13575" width="4.54296875" customWidth="1"/>
    <col min="13576" max="13576" width="2.08984375" bestFit="1" customWidth="1"/>
    <col min="13577" max="13577" width="9.453125" customWidth="1"/>
    <col min="13578" max="13578" width="3.453125" bestFit="1" customWidth="1"/>
    <col min="13579" max="13579" width="13" customWidth="1"/>
    <col min="13580" max="13580" width="14.54296875" customWidth="1"/>
    <col min="13825" max="13825" width="4.453125" customWidth="1"/>
    <col min="13826" max="13826" width="23.453125" customWidth="1"/>
    <col min="13827" max="13827" width="9.453125" customWidth="1"/>
    <col min="13828" max="13828" width="2.453125" customWidth="1"/>
    <col min="13829" max="13829" width="12.90625" customWidth="1"/>
    <col min="13830" max="13830" width="2" bestFit="1" customWidth="1"/>
    <col min="13831" max="13831" width="4.54296875" customWidth="1"/>
    <col min="13832" max="13832" width="2.08984375" bestFit="1" customWidth="1"/>
    <col min="13833" max="13833" width="9.453125" customWidth="1"/>
    <col min="13834" max="13834" width="3.453125" bestFit="1" customWidth="1"/>
    <col min="13835" max="13835" width="13" customWidth="1"/>
    <col min="13836" max="13836" width="14.54296875" customWidth="1"/>
    <col min="14081" max="14081" width="4.453125" customWidth="1"/>
    <col min="14082" max="14082" width="23.453125" customWidth="1"/>
    <col min="14083" max="14083" width="9.453125" customWidth="1"/>
    <col min="14084" max="14084" width="2.453125" customWidth="1"/>
    <col min="14085" max="14085" width="12.90625" customWidth="1"/>
    <col min="14086" max="14086" width="2" bestFit="1" customWidth="1"/>
    <col min="14087" max="14087" width="4.54296875" customWidth="1"/>
    <col min="14088" max="14088" width="2.08984375" bestFit="1" customWidth="1"/>
    <col min="14089" max="14089" width="9.453125" customWidth="1"/>
    <col min="14090" max="14090" width="3.453125" bestFit="1" customWidth="1"/>
    <col min="14091" max="14091" width="13" customWidth="1"/>
    <col min="14092" max="14092" width="14.54296875" customWidth="1"/>
    <col min="14337" max="14337" width="4.453125" customWidth="1"/>
    <col min="14338" max="14338" width="23.453125" customWidth="1"/>
    <col min="14339" max="14339" width="9.453125" customWidth="1"/>
    <col min="14340" max="14340" width="2.453125" customWidth="1"/>
    <col min="14341" max="14341" width="12.90625" customWidth="1"/>
    <col min="14342" max="14342" width="2" bestFit="1" customWidth="1"/>
    <col min="14343" max="14343" width="4.54296875" customWidth="1"/>
    <col min="14344" max="14344" width="2.08984375" bestFit="1" customWidth="1"/>
    <col min="14345" max="14345" width="9.453125" customWidth="1"/>
    <col min="14346" max="14346" width="3.453125" bestFit="1" customWidth="1"/>
    <col min="14347" max="14347" width="13" customWidth="1"/>
    <col min="14348" max="14348" width="14.54296875" customWidth="1"/>
    <col min="14593" max="14593" width="4.453125" customWidth="1"/>
    <col min="14594" max="14594" width="23.453125" customWidth="1"/>
    <col min="14595" max="14595" width="9.453125" customWidth="1"/>
    <col min="14596" max="14596" width="2.453125" customWidth="1"/>
    <col min="14597" max="14597" width="12.90625" customWidth="1"/>
    <col min="14598" max="14598" width="2" bestFit="1" customWidth="1"/>
    <col min="14599" max="14599" width="4.54296875" customWidth="1"/>
    <col min="14600" max="14600" width="2.08984375" bestFit="1" customWidth="1"/>
    <col min="14601" max="14601" width="9.453125" customWidth="1"/>
    <col min="14602" max="14602" width="3.453125" bestFit="1" customWidth="1"/>
    <col min="14603" max="14603" width="13" customWidth="1"/>
    <col min="14604" max="14604" width="14.54296875" customWidth="1"/>
    <col min="14849" max="14849" width="4.453125" customWidth="1"/>
    <col min="14850" max="14850" width="23.453125" customWidth="1"/>
    <col min="14851" max="14851" width="9.453125" customWidth="1"/>
    <col min="14852" max="14852" width="2.453125" customWidth="1"/>
    <col min="14853" max="14853" width="12.90625" customWidth="1"/>
    <col min="14854" max="14854" width="2" bestFit="1" customWidth="1"/>
    <col min="14855" max="14855" width="4.54296875" customWidth="1"/>
    <col min="14856" max="14856" width="2.08984375" bestFit="1" customWidth="1"/>
    <col min="14857" max="14857" width="9.453125" customWidth="1"/>
    <col min="14858" max="14858" width="3.453125" bestFit="1" customWidth="1"/>
    <col min="14859" max="14859" width="13" customWidth="1"/>
    <col min="14860" max="14860" width="14.54296875" customWidth="1"/>
    <col min="15105" max="15105" width="4.453125" customWidth="1"/>
    <col min="15106" max="15106" width="23.453125" customWidth="1"/>
    <col min="15107" max="15107" width="9.453125" customWidth="1"/>
    <col min="15108" max="15108" width="2.453125" customWidth="1"/>
    <col min="15109" max="15109" width="12.90625" customWidth="1"/>
    <col min="15110" max="15110" width="2" bestFit="1" customWidth="1"/>
    <col min="15111" max="15111" width="4.54296875" customWidth="1"/>
    <col min="15112" max="15112" width="2.08984375" bestFit="1" customWidth="1"/>
    <col min="15113" max="15113" width="9.453125" customWidth="1"/>
    <col min="15114" max="15114" width="3.453125" bestFit="1" customWidth="1"/>
    <col min="15115" max="15115" width="13" customWidth="1"/>
    <col min="15116" max="15116" width="14.54296875" customWidth="1"/>
    <col min="15361" max="15361" width="4.453125" customWidth="1"/>
    <col min="15362" max="15362" width="23.453125" customWidth="1"/>
    <col min="15363" max="15363" width="9.453125" customWidth="1"/>
    <col min="15364" max="15364" width="2.453125" customWidth="1"/>
    <col min="15365" max="15365" width="12.90625" customWidth="1"/>
    <col min="15366" max="15366" width="2" bestFit="1" customWidth="1"/>
    <col min="15367" max="15367" width="4.54296875" customWidth="1"/>
    <col min="15368" max="15368" width="2.08984375" bestFit="1" customWidth="1"/>
    <col min="15369" max="15369" width="9.453125" customWidth="1"/>
    <col min="15370" max="15370" width="3.453125" bestFit="1" customWidth="1"/>
    <col min="15371" max="15371" width="13" customWidth="1"/>
    <col min="15372" max="15372" width="14.54296875" customWidth="1"/>
    <col min="15617" max="15617" width="4.453125" customWidth="1"/>
    <col min="15618" max="15618" width="23.453125" customWidth="1"/>
    <col min="15619" max="15619" width="9.453125" customWidth="1"/>
    <col min="15620" max="15620" width="2.453125" customWidth="1"/>
    <col min="15621" max="15621" width="12.90625" customWidth="1"/>
    <col min="15622" max="15622" width="2" bestFit="1" customWidth="1"/>
    <col min="15623" max="15623" width="4.54296875" customWidth="1"/>
    <col min="15624" max="15624" width="2.08984375" bestFit="1" customWidth="1"/>
    <col min="15625" max="15625" width="9.453125" customWidth="1"/>
    <col min="15626" max="15626" width="3.453125" bestFit="1" customWidth="1"/>
    <col min="15627" max="15627" width="13" customWidth="1"/>
    <col min="15628" max="15628" width="14.54296875" customWidth="1"/>
    <col min="15873" max="15873" width="4.453125" customWidth="1"/>
    <col min="15874" max="15874" width="23.453125" customWidth="1"/>
    <col min="15875" max="15875" width="9.453125" customWidth="1"/>
    <col min="15876" max="15876" width="2.453125" customWidth="1"/>
    <col min="15877" max="15877" width="12.90625" customWidth="1"/>
    <col min="15878" max="15878" width="2" bestFit="1" customWidth="1"/>
    <col min="15879" max="15879" width="4.54296875" customWidth="1"/>
    <col min="15880" max="15880" width="2.08984375" bestFit="1" customWidth="1"/>
    <col min="15881" max="15881" width="9.453125" customWidth="1"/>
    <col min="15882" max="15882" width="3.453125" bestFit="1" customWidth="1"/>
    <col min="15883" max="15883" width="13" customWidth="1"/>
    <col min="15884" max="15884" width="14.54296875" customWidth="1"/>
    <col min="16129" max="16129" width="4.453125" customWidth="1"/>
    <col min="16130" max="16130" width="23.453125" customWidth="1"/>
    <col min="16131" max="16131" width="9.453125" customWidth="1"/>
    <col min="16132" max="16132" width="2.453125" customWidth="1"/>
    <col min="16133" max="16133" width="12.90625" customWidth="1"/>
    <col min="16134" max="16134" width="2" bestFit="1" customWidth="1"/>
    <col min="16135" max="16135" width="4.54296875" customWidth="1"/>
    <col min="16136" max="16136" width="2.08984375" bestFit="1" customWidth="1"/>
    <col min="16137" max="16137" width="9.453125" customWidth="1"/>
    <col min="16138" max="16138" width="3.453125" bestFit="1" customWidth="1"/>
    <col min="16139" max="16139" width="13" customWidth="1"/>
    <col min="16140" max="16140" width="14.54296875" customWidth="1"/>
  </cols>
  <sheetData>
    <row r="2" spans="1:18" ht="26" x14ac:dyDescent="0.6">
      <c r="B2" s="15" t="s">
        <v>29</v>
      </c>
      <c r="C2" s="15"/>
    </row>
    <row r="3" spans="1:18" ht="26" x14ac:dyDescent="0.6">
      <c r="B3" s="15"/>
      <c r="C3" s="14" t="s">
        <v>10</v>
      </c>
    </row>
    <row r="4" spans="1:18" ht="27" customHeight="1" x14ac:dyDescent="0.45">
      <c r="I4" s="13"/>
      <c r="K4" s="12"/>
      <c r="L4" s="12"/>
    </row>
    <row r="5" spans="1:18" x14ac:dyDescent="0.35">
      <c r="I5" t="s">
        <v>22</v>
      </c>
      <c r="K5" t="s">
        <v>42</v>
      </c>
      <c r="L5" s="16" t="s">
        <v>24</v>
      </c>
      <c r="M5" s="57" t="s">
        <v>25</v>
      </c>
    </row>
    <row r="6" spans="1:18" ht="15.5" x14ac:dyDescent="0.35">
      <c r="A6" s="11">
        <v>1</v>
      </c>
      <c r="B6" s="1" t="s">
        <v>30</v>
      </c>
      <c r="C6" s="55" t="s">
        <v>21</v>
      </c>
      <c r="D6" s="1"/>
      <c r="E6" s="1"/>
      <c r="F6" s="1"/>
      <c r="G6" s="1"/>
      <c r="H6" s="1"/>
      <c r="I6" s="1">
        <v>50</v>
      </c>
      <c r="J6" s="1"/>
      <c r="K6" s="1">
        <f>0.2%*1.1</f>
        <v>2.2000000000000001E-3</v>
      </c>
      <c r="L6" s="41">
        <f>'Margin Analysic'!$N$7</f>
        <v>3165</v>
      </c>
      <c r="M6" s="56">
        <f>IF('Margin Analysic'!B4="Local",0,IF(K6*L6&gt;I6,K6*L6,I6))</f>
        <v>50</v>
      </c>
      <c r="P6" s="43"/>
    </row>
    <row r="7" spans="1:18" ht="15.5" x14ac:dyDescent="0.35">
      <c r="A7" s="11">
        <v>2</v>
      </c>
      <c r="B7" s="1" t="s">
        <v>31</v>
      </c>
      <c r="C7" s="3" t="s">
        <v>11</v>
      </c>
      <c r="D7" s="1"/>
      <c r="E7" s="1"/>
      <c r="F7" s="1"/>
      <c r="G7" s="1"/>
      <c r="H7" s="1"/>
      <c r="I7" s="1">
        <v>35</v>
      </c>
      <c r="J7" s="1"/>
      <c r="K7" s="1">
        <f>0.005%</f>
        <v>5.0000000000000002E-5</v>
      </c>
      <c r="L7" s="42">
        <f>'Margin Analysic'!$G$15</f>
        <v>3930</v>
      </c>
      <c r="M7" s="56">
        <f>IF('Margin Analysic'!B3="VN",0,IF(K7*L7&gt;I7,K7*L7,I7))</f>
        <v>35</v>
      </c>
      <c r="P7" s="43"/>
    </row>
    <row r="8" spans="1:18" ht="15.5" x14ac:dyDescent="0.35">
      <c r="A8" s="11"/>
      <c r="B8" s="1"/>
      <c r="C8" s="3"/>
      <c r="D8" s="1"/>
      <c r="E8" s="1"/>
      <c r="F8" s="1"/>
      <c r="G8" s="1"/>
      <c r="H8" s="1"/>
      <c r="I8" s="1"/>
      <c r="J8" s="1"/>
      <c r="K8" s="1"/>
      <c r="L8" s="41"/>
    </row>
    <row r="9" spans="1:18" ht="32.15" customHeight="1" x14ac:dyDescent="0.35">
      <c r="A9" s="1"/>
      <c r="B9" s="4" t="s">
        <v>3</v>
      </c>
      <c r="C9" s="4" t="s">
        <v>32</v>
      </c>
      <c r="D9" s="1"/>
      <c r="E9" s="1"/>
      <c r="F9" s="1"/>
      <c r="G9" s="1"/>
      <c r="H9" s="1"/>
      <c r="I9" s="1"/>
      <c r="J9" s="1"/>
      <c r="K9" s="1"/>
      <c r="L9" s="1"/>
      <c r="M9" s="19">
        <f>SUM(M6:M8)</f>
        <v>85</v>
      </c>
      <c r="N9" s="19"/>
      <c r="P9" s="42"/>
      <c r="Q9" s="42"/>
      <c r="R9" s="42"/>
    </row>
    <row r="10" spans="1:18" ht="15.5" x14ac:dyDescent="0.35">
      <c r="A10" s="1"/>
      <c r="B10" s="1"/>
      <c r="C10" s="1"/>
      <c r="D10" s="1"/>
      <c r="E10" s="1"/>
      <c r="F10" s="1"/>
      <c r="G10" s="1"/>
      <c r="H10" s="1"/>
      <c r="I10" s="1"/>
      <c r="J10" s="1"/>
      <c r="K10" s="1"/>
      <c r="L10" s="1"/>
      <c r="P10" s="42"/>
      <c r="Q10" s="43"/>
      <c r="R10" s="43"/>
    </row>
    <row r="11" spans="1:18" ht="15.5" x14ac:dyDescent="0.35">
      <c r="A11" s="1"/>
      <c r="B11" s="1"/>
      <c r="C11" s="1"/>
      <c r="D11" s="1"/>
      <c r="E11" s="1"/>
      <c r="F11" s="1"/>
      <c r="G11" s="1"/>
      <c r="H11" s="1"/>
      <c r="I11" s="1"/>
      <c r="J11" s="1"/>
      <c r="K11" s="1"/>
      <c r="L11" s="1"/>
      <c r="P11" s="42"/>
      <c r="R11" s="42"/>
    </row>
    <row r="12" spans="1:18" ht="16" thickBot="1" x14ac:dyDescent="0.4">
      <c r="A12" s="10"/>
      <c r="B12" s="10"/>
      <c r="C12" s="10"/>
      <c r="D12" s="10"/>
      <c r="E12" s="10"/>
      <c r="F12" s="10"/>
      <c r="G12" s="10"/>
      <c r="H12" s="10"/>
      <c r="I12" s="10"/>
      <c r="J12" s="10"/>
      <c r="K12" s="10"/>
      <c r="L12" s="1"/>
      <c r="P12" s="42"/>
      <c r="R12" s="43"/>
    </row>
    <row r="13" spans="1:18" ht="16" thickTop="1" x14ac:dyDescent="0.35">
      <c r="A13" s="1"/>
      <c r="B13" s="1"/>
      <c r="C13" s="1"/>
      <c r="D13" s="1"/>
      <c r="E13" s="1"/>
      <c r="F13" s="1"/>
      <c r="G13" s="1"/>
      <c r="H13" s="1"/>
      <c r="I13" s="1"/>
      <c r="J13" s="1"/>
      <c r="K13" s="1"/>
      <c r="L13" s="1"/>
      <c r="P13" s="19"/>
    </row>
    <row r="14" spans="1:18" ht="15.5" hidden="1" x14ac:dyDescent="0.35">
      <c r="A14" s="1"/>
      <c r="B14" s="1"/>
      <c r="C14" s="1"/>
      <c r="D14" s="1"/>
      <c r="E14" s="1"/>
      <c r="F14" s="1"/>
      <c r="G14" s="1"/>
      <c r="H14" s="1"/>
      <c r="I14" s="1"/>
      <c r="J14" s="1"/>
      <c r="K14" s="1"/>
      <c r="L14" s="1"/>
    </row>
    <row r="15" spans="1:18" ht="15.5" hidden="1" x14ac:dyDescent="0.35">
      <c r="A15" s="1"/>
      <c r="B15" s="9" t="s">
        <v>4</v>
      </c>
      <c r="C15" s="1"/>
      <c r="D15" s="1" t="s">
        <v>5</v>
      </c>
      <c r="E15" s="1"/>
      <c r="F15" s="1"/>
      <c r="G15" s="1"/>
      <c r="H15" s="1"/>
      <c r="I15" s="1"/>
      <c r="J15" s="1"/>
      <c r="K15" s="7">
        <v>662</v>
      </c>
      <c r="L15" s="1"/>
    </row>
    <row r="16" spans="1:18" ht="15.5" hidden="1" x14ac:dyDescent="0.35">
      <c r="A16" s="1"/>
      <c r="B16" s="1"/>
      <c r="C16" s="1"/>
      <c r="D16" s="1"/>
      <c r="E16" s="1"/>
      <c r="F16" s="1"/>
      <c r="G16" s="1"/>
      <c r="H16" s="1"/>
      <c r="I16" s="1"/>
      <c r="J16" s="1"/>
      <c r="K16" s="1"/>
      <c r="L16" s="1"/>
    </row>
    <row r="17" spans="1:16" ht="15.5" hidden="1" x14ac:dyDescent="0.35">
      <c r="A17" s="1"/>
      <c r="B17" s="1"/>
      <c r="C17" s="1"/>
      <c r="D17" s="1"/>
      <c r="E17" s="1"/>
      <c r="F17" s="1"/>
      <c r="G17" s="1"/>
      <c r="H17" s="1"/>
      <c r="I17" s="1"/>
      <c r="J17" s="1"/>
      <c r="K17" s="1"/>
      <c r="L17" s="1"/>
    </row>
    <row r="18" spans="1:16" ht="25.5" hidden="1" customHeight="1" x14ac:dyDescent="0.35">
      <c r="A18" s="1"/>
      <c r="B18" s="1" t="s">
        <v>0</v>
      </c>
      <c r="C18" s="8">
        <v>2E-3</v>
      </c>
      <c r="D18" s="1" t="s">
        <v>6</v>
      </c>
      <c r="E18" s="7">
        <f>+K15</f>
        <v>662</v>
      </c>
      <c r="F18" s="1" t="s">
        <v>6</v>
      </c>
      <c r="G18" s="1">
        <v>1.1000000000000001</v>
      </c>
      <c r="H18" s="1" t="s">
        <v>7</v>
      </c>
      <c r="I18" s="3">
        <f>+C18*E18*G18</f>
        <v>1.4564000000000001</v>
      </c>
      <c r="J18" s="6" t="s">
        <v>8</v>
      </c>
      <c r="K18" s="3">
        <f>IF((0.2%*$K$15)*1.1&gt;11,(0.2%*$K$15)*1.1,11)</f>
        <v>11</v>
      </c>
      <c r="L18" s="2"/>
    </row>
    <row r="19" spans="1:16" ht="25.5" hidden="1" customHeight="1" x14ac:dyDescent="0.35">
      <c r="A19" s="1"/>
      <c r="B19" s="1" t="s">
        <v>1</v>
      </c>
      <c r="C19" s="5"/>
      <c r="D19" s="1"/>
      <c r="E19" s="1"/>
      <c r="F19" s="1"/>
      <c r="G19" s="1"/>
      <c r="H19" s="1"/>
      <c r="I19" s="1"/>
      <c r="J19" s="1"/>
      <c r="K19" s="3" t="str">
        <f>+C7</f>
        <v>(0.05%* amount transfer)</v>
      </c>
      <c r="L19" s="5"/>
    </row>
    <row r="20" spans="1:16" ht="25.5" hidden="1" customHeight="1" x14ac:dyDescent="0.35">
      <c r="A20" s="1"/>
      <c r="B20" s="1" t="s">
        <v>2</v>
      </c>
      <c r="C20" s="5"/>
      <c r="D20" s="1"/>
      <c r="E20" s="1"/>
      <c r="F20" s="1"/>
      <c r="G20" s="1"/>
      <c r="H20" s="1"/>
      <c r="I20" s="1"/>
      <c r="J20" s="1"/>
      <c r="K20" s="3">
        <f>+$C$8</f>
        <v>0</v>
      </c>
      <c r="L20" s="5"/>
    </row>
    <row r="21" spans="1:16" ht="25.5" hidden="1" customHeight="1" x14ac:dyDescent="0.35">
      <c r="A21" s="1"/>
      <c r="B21" s="4" t="s">
        <v>9</v>
      </c>
      <c r="C21" s="4"/>
      <c r="D21" s="4"/>
      <c r="E21" s="4"/>
      <c r="F21" s="4"/>
      <c r="G21" s="4"/>
      <c r="H21" s="4"/>
      <c r="I21" s="4"/>
      <c r="J21" s="4"/>
      <c r="K21" s="3">
        <f>SUM(K18:K20)</f>
        <v>11</v>
      </c>
      <c r="L21" s="2"/>
    </row>
    <row r="22" spans="1:16" ht="15.5" hidden="1" x14ac:dyDescent="0.35">
      <c r="A22" s="1"/>
      <c r="B22" s="1"/>
      <c r="C22" s="1"/>
      <c r="D22" s="1"/>
      <c r="E22" s="1"/>
      <c r="F22" s="1"/>
      <c r="G22" s="1"/>
      <c r="H22" s="1"/>
      <c r="I22" s="1"/>
      <c r="J22" s="1"/>
      <c r="K22" s="1"/>
      <c r="L22" s="1"/>
    </row>
    <row r="23" spans="1:16" hidden="1" x14ac:dyDescent="0.35"/>
    <row r="24" spans="1:16" hidden="1" x14ac:dyDescent="0.35"/>
    <row r="25" spans="1:16" x14ac:dyDescent="0.35">
      <c r="P25" s="43"/>
    </row>
    <row r="28" spans="1:16" x14ac:dyDescent="0.35">
      <c r="P28" s="42"/>
    </row>
    <row r="29" spans="1:16" x14ac:dyDescent="0.35">
      <c r="P29" s="43"/>
    </row>
  </sheetData>
  <dataValidations count="1">
    <dataValidation type="list" allowBlank="1" showInputMessage="1" showErrorMessage="1" sqref="WVS983044 JG4 TC4 ACY4 AMU4 AWQ4 BGM4 BQI4 CAE4 CKA4 CTW4 DDS4 DNO4 DXK4 EHG4 ERC4 FAY4 FKU4 FUQ4 GEM4 GOI4 GYE4 HIA4 HRW4 IBS4 ILO4 IVK4 JFG4 JPC4 JYY4 KIU4 KSQ4 LCM4 LMI4 LWE4 MGA4 MPW4 MZS4 NJO4 NTK4 ODG4 ONC4 OWY4 PGU4 PQQ4 QAM4 QKI4 QUE4 REA4 RNW4 RXS4 SHO4 SRK4 TBG4 TLC4 TUY4 UEU4 UOQ4 UYM4 VII4 VSE4 WCA4 WLW4 WVS4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xr:uid="{00000000-0002-0000-0100-000000000000}">
      <formula1>SUP</formula1>
    </dataValidation>
  </dataValidations>
  <pageMargins left="0.8" right="0.28000000000000003"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F8503-40C9-4523-9D47-D017DE0442B6}">
  <dimension ref="A1"/>
  <sheetViews>
    <sheetView topLeftCell="A13" workbookViewId="0">
      <selection activeCell="E23" sqref="E23"/>
    </sheetView>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30C18-BF67-455D-8C13-15DBB76F8784}">
  <dimension ref="A1:Q18"/>
  <sheetViews>
    <sheetView zoomScale="89" zoomScaleNormal="89" workbookViewId="0">
      <pane xSplit="6" ySplit="5" topLeftCell="G6" activePane="bottomRight" state="frozen"/>
      <selection pane="topRight" activeCell="D1" sqref="D1"/>
      <selection pane="bottomLeft" activeCell="A6" sqref="A6"/>
      <selection pane="bottomRight" activeCell="O15" sqref="O15"/>
    </sheetView>
  </sheetViews>
  <sheetFormatPr defaultColWidth="8.90625" defaultRowHeight="15.5" x14ac:dyDescent="0.35"/>
  <cols>
    <col min="1" max="1" width="12.54296875" style="22" customWidth="1"/>
    <col min="2" max="2" width="19.90625" style="22" customWidth="1"/>
    <col min="3" max="3" width="46.36328125" style="27" customWidth="1"/>
    <col min="4" max="4" width="13" style="27" customWidth="1"/>
    <col min="5" max="5" width="7.90625" style="27" customWidth="1"/>
    <col min="6" max="6" width="12.36328125" style="21" customWidth="1"/>
    <col min="7" max="7" width="18.6328125" style="38" bestFit="1" customWidth="1"/>
    <col min="8" max="8" width="17.36328125" style="38" customWidth="1"/>
    <col min="9" max="9" width="10.90625" style="38" customWidth="1"/>
    <col min="10" max="10" width="12" style="22" customWidth="1"/>
    <col min="11" max="11" width="13" style="22" customWidth="1"/>
    <col min="12" max="13" width="11.36328125" style="22" customWidth="1"/>
    <col min="14" max="14" width="12.6328125" style="38" bestFit="1" customWidth="1"/>
    <col min="15" max="15" width="12.54296875" style="22" customWidth="1"/>
    <col min="16" max="16" width="14.90625" style="22" customWidth="1"/>
    <col min="17" max="17" width="11.6328125" style="22" bestFit="1" customWidth="1"/>
    <col min="18" max="16384" width="8.90625" style="22"/>
  </cols>
  <sheetData>
    <row r="1" spans="1:17" x14ac:dyDescent="0.35">
      <c r="A1" s="17" t="s">
        <v>13</v>
      </c>
      <c r="B1" s="17" t="s">
        <v>69</v>
      </c>
      <c r="C1" s="20"/>
      <c r="D1" s="20"/>
      <c r="E1" s="38" t="s">
        <v>14</v>
      </c>
      <c r="G1" s="77">
        <v>46218</v>
      </c>
      <c r="H1" s="49"/>
      <c r="J1" s="23"/>
      <c r="K1" s="24" t="s">
        <v>27</v>
      </c>
      <c r="L1" s="25" t="s">
        <v>58</v>
      </c>
      <c r="P1" s="26"/>
    </row>
    <row r="2" spans="1:17" x14ac:dyDescent="0.35">
      <c r="A2" s="22" t="s">
        <v>55</v>
      </c>
      <c r="B2" s="22" t="s">
        <v>68</v>
      </c>
      <c r="C2" s="28"/>
      <c r="D2" s="28"/>
      <c r="E2" s="38" t="s">
        <v>37</v>
      </c>
      <c r="H2" s="46" t="s">
        <v>67</v>
      </c>
      <c r="J2" s="23"/>
      <c r="K2" s="50" t="s">
        <v>28</v>
      </c>
      <c r="L2" s="51">
        <v>1.1000000000000001</v>
      </c>
      <c r="P2" s="26"/>
    </row>
    <row r="3" spans="1:17" x14ac:dyDescent="0.35">
      <c r="A3" s="17" t="s">
        <v>35</v>
      </c>
      <c r="B3" s="54" t="s">
        <v>70</v>
      </c>
      <c r="E3" s="47" t="s">
        <v>26</v>
      </c>
      <c r="H3" s="38" t="s">
        <v>63</v>
      </c>
      <c r="I3" s="48" t="s">
        <v>65</v>
      </c>
      <c r="J3" s="23"/>
      <c r="K3" s="50" t="s">
        <v>33</v>
      </c>
      <c r="L3" s="52">
        <v>25500</v>
      </c>
    </row>
    <row r="4" spans="1:17" x14ac:dyDescent="0.35">
      <c r="A4" s="17" t="s">
        <v>56</v>
      </c>
      <c r="B4" s="54" t="s">
        <v>59</v>
      </c>
      <c r="F4" s="29"/>
      <c r="G4" s="47"/>
      <c r="H4" s="38" t="s">
        <v>71</v>
      </c>
      <c r="I4" s="47" t="s">
        <v>72</v>
      </c>
      <c r="J4" s="23"/>
      <c r="K4" s="50"/>
      <c r="L4" s="53"/>
      <c r="M4" s="46" t="s">
        <v>34</v>
      </c>
    </row>
    <row r="5" spans="1:17" ht="31" x14ac:dyDescent="0.35">
      <c r="A5" s="30" t="s">
        <v>60</v>
      </c>
      <c r="B5" s="30" t="s">
        <v>23</v>
      </c>
      <c r="C5" s="30" t="s">
        <v>36</v>
      </c>
      <c r="D5" s="30" t="s">
        <v>57</v>
      </c>
      <c r="E5" s="31" t="s">
        <v>39</v>
      </c>
      <c r="F5" s="31" t="s">
        <v>38</v>
      </c>
      <c r="G5" s="45" t="s">
        <v>15</v>
      </c>
      <c r="H5" s="45" t="s">
        <v>16</v>
      </c>
      <c r="I5" s="45" t="s">
        <v>41</v>
      </c>
      <c r="J5" s="32" t="s">
        <v>40</v>
      </c>
      <c r="K5" s="32" t="s">
        <v>17</v>
      </c>
      <c r="L5" s="33" t="s">
        <v>12</v>
      </c>
      <c r="M5" s="33" t="s">
        <v>18</v>
      </c>
      <c r="N5" s="39" t="s">
        <v>19</v>
      </c>
      <c r="O5" s="33" t="s">
        <v>20</v>
      </c>
    </row>
    <row r="6" spans="1:17" ht="39.75" customHeight="1" x14ac:dyDescent="0.35">
      <c r="A6" s="34">
        <v>1</v>
      </c>
      <c r="B6" s="34">
        <v>480131200</v>
      </c>
      <c r="C6" s="74" t="s">
        <v>66</v>
      </c>
      <c r="D6" s="73" t="s">
        <v>62</v>
      </c>
      <c r="E6" s="71">
        <v>30</v>
      </c>
      <c r="F6" s="76">
        <f>(43.2/E6)*0.46</f>
        <v>0.6624000000000001</v>
      </c>
      <c r="G6" s="75">
        <f>ROUNDUP(M6/(1-J6),0)</f>
        <v>131</v>
      </c>
      <c r="H6" s="69">
        <f>E6*G6</f>
        <v>3930</v>
      </c>
      <c r="I6" s="68">
        <f t="shared" ref="I6" si="0">G6-M6</f>
        <v>22.666666666666671</v>
      </c>
      <c r="J6" s="35">
        <v>0.17</v>
      </c>
      <c r="K6" s="70">
        <f>E6*I6</f>
        <v>680.00000000000011</v>
      </c>
      <c r="L6" s="70">
        <f>M6*E6</f>
        <v>3250</v>
      </c>
      <c r="M6" s="68">
        <f>SUM(N6:O6)</f>
        <v>108.33333333333333</v>
      </c>
      <c r="N6" s="67">
        <v>105.5</v>
      </c>
      <c r="O6" s="61">
        <f>85*(N6/$N$7)</f>
        <v>2.8333333333333335</v>
      </c>
      <c r="P6" s="38"/>
      <c r="Q6" s="60"/>
    </row>
    <row r="7" spans="1:17" s="63" customFormat="1" ht="24" customHeight="1" x14ac:dyDescent="0.35">
      <c r="A7" s="62"/>
      <c r="B7" s="62"/>
      <c r="C7" s="64"/>
      <c r="D7" s="64"/>
      <c r="E7" s="72">
        <f>SUM(E6:E6)</f>
        <v>30</v>
      </c>
      <c r="F7" s="65">
        <f>SUMPRODUCT($E$6:$E$6,F6:F6)</f>
        <v>19.872000000000003</v>
      </c>
      <c r="G7" s="65">
        <f>SUMPRODUCT($E$6:$E$6,G6:G6)</f>
        <v>3930</v>
      </c>
      <c r="H7" s="65">
        <f>SUM(H6:H6)</f>
        <v>3930</v>
      </c>
      <c r="I7" s="65">
        <f>SUMPRODUCT($E$6:$E$6,I6:I6)</f>
        <v>680.00000000000011</v>
      </c>
      <c r="J7" s="66">
        <f>AVERAGE(J6:J6)</f>
        <v>0.17</v>
      </c>
      <c r="K7" s="65">
        <f>SUM(K6:K6)</f>
        <v>680.00000000000011</v>
      </c>
      <c r="L7" s="65">
        <f>SUM(L6:L6)</f>
        <v>3250</v>
      </c>
      <c r="M7" s="65">
        <f>SUMPRODUCT($E$6:$E$6,M6:M6)</f>
        <v>3250</v>
      </c>
      <c r="N7" s="65">
        <f>SUMPRODUCT($E$6:$E$6,N6:N6)</f>
        <v>3165</v>
      </c>
      <c r="O7" s="65">
        <f>SUMPRODUCT($E$6:$E$6,O6:O6)</f>
        <v>85</v>
      </c>
      <c r="P7" s="65"/>
    </row>
    <row r="8" spans="1:17" x14ac:dyDescent="0.35">
      <c r="A8" s="44" t="s">
        <v>54</v>
      </c>
      <c r="B8" s="34"/>
      <c r="C8" s="18"/>
      <c r="D8" s="79"/>
      <c r="E8" s="34"/>
      <c r="F8" s="34"/>
      <c r="G8" s="40"/>
      <c r="H8" s="36"/>
      <c r="I8" s="40"/>
      <c r="J8" s="35"/>
      <c r="K8" s="36"/>
      <c r="L8" s="36"/>
      <c r="M8" s="37"/>
      <c r="N8" s="40"/>
      <c r="O8" s="40"/>
    </row>
    <row r="10" spans="1:17" x14ac:dyDescent="0.35">
      <c r="F10" s="78">
        <f>F7/0.46</f>
        <v>43.2</v>
      </c>
    </row>
    <row r="12" spans="1:17" x14ac:dyDescent="0.35">
      <c r="B12" s="22" t="s">
        <v>74</v>
      </c>
    </row>
    <row r="13" spans="1:17" ht="31" x14ac:dyDescent="0.35">
      <c r="A13" s="30" t="s">
        <v>60</v>
      </c>
      <c r="B13" s="30" t="s">
        <v>23</v>
      </c>
      <c r="C13" s="30" t="s">
        <v>36</v>
      </c>
      <c r="D13" s="30" t="s">
        <v>57</v>
      </c>
      <c r="E13" s="31" t="s">
        <v>39</v>
      </c>
      <c r="F13" s="31" t="s">
        <v>38</v>
      </c>
      <c r="G13" s="45" t="s">
        <v>15</v>
      </c>
      <c r="H13" s="45" t="s">
        <v>16</v>
      </c>
      <c r="I13" s="45" t="s">
        <v>41</v>
      </c>
      <c r="J13" s="32" t="s">
        <v>40</v>
      </c>
      <c r="K13" s="32" t="s">
        <v>17</v>
      </c>
      <c r="L13" s="33" t="s">
        <v>12</v>
      </c>
      <c r="M13" s="33" t="s">
        <v>18</v>
      </c>
      <c r="N13" s="39" t="s">
        <v>19</v>
      </c>
      <c r="O13" s="33" t="s">
        <v>20</v>
      </c>
      <c r="P13" s="33" t="s">
        <v>73</v>
      </c>
    </row>
    <row r="14" spans="1:17" ht="31" x14ac:dyDescent="0.35">
      <c r="A14" s="34">
        <v>1</v>
      </c>
      <c r="B14" s="34">
        <v>480131200</v>
      </c>
      <c r="C14" s="74" t="s">
        <v>66</v>
      </c>
      <c r="D14" s="73" t="s">
        <v>62</v>
      </c>
      <c r="E14" s="71">
        <v>30</v>
      </c>
      <c r="F14" s="76">
        <f>(43.2/E14)*0.46</f>
        <v>0.6624000000000001</v>
      </c>
      <c r="G14" s="75">
        <f>ROUNDUP(M14/(1-J14),0)</f>
        <v>131</v>
      </c>
      <c r="H14" s="69">
        <f>E14*G14</f>
        <v>3930</v>
      </c>
      <c r="I14" s="68">
        <f t="shared" ref="I14" si="1">G14-M14</f>
        <v>22.666666666666671</v>
      </c>
      <c r="J14" s="35">
        <v>0.17</v>
      </c>
      <c r="K14" s="70">
        <f>E14*I14</f>
        <v>680.00000000000011</v>
      </c>
      <c r="L14" s="70">
        <f>M14*E14</f>
        <v>3250</v>
      </c>
      <c r="M14" s="68">
        <f>SUM(N14:O14)</f>
        <v>108.33333333333333</v>
      </c>
      <c r="N14" s="67">
        <v>105.5</v>
      </c>
      <c r="O14" s="61">
        <f>85*(N14/$N$15)</f>
        <v>2.8333333333333335</v>
      </c>
      <c r="P14" s="80">
        <f>(Logistic!G2*('Margin Analysic'!F14/'Margin Analysic'!F15))</f>
        <v>60</v>
      </c>
    </row>
    <row r="15" spans="1:17" x14ac:dyDescent="0.35">
      <c r="A15" s="62"/>
      <c r="B15" s="62"/>
      <c r="C15" s="64"/>
      <c r="D15" s="64"/>
      <c r="E15" s="72">
        <f>SUM(E14:E14)</f>
        <v>30</v>
      </c>
      <c r="F15" s="65">
        <f>SUMPRODUCT($E$14:$E$14,F14:F14)</f>
        <v>19.872000000000003</v>
      </c>
      <c r="G15" s="65">
        <f>SUMPRODUCT($E$6:$E$6,G14:G14)</f>
        <v>3930</v>
      </c>
      <c r="H15" s="65">
        <f>SUM(H14:H14)</f>
        <v>3930</v>
      </c>
      <c r="I15" s="65">
        <f>SUMPRODUCT($E$6:$E$6,I14:I14)</f>
        <v>680.00000000000011</v>
      </c>
      <c r="J15" s="66">
        <f>AVERAGE(J14:J14)</f>
        <v>0.17</v>
      </c>
      <c r="K15" s="65">
        <f>SUM(K14:K14)</f>
        <v>680.00000000000011</v>
      </c>
      <c r="L15" s="65">
        <f>SUM(L14:L14)</f>
        <v>3250</v>
      </c>
      <c r="M15" s="65">
        <f>SUMPRODUCT($E$6:$E$6,M14:M14)</f>
        <v>3250</v>
      </c>
      <c r="N15" s="65">
        <f>SUMPRODUCT($E$6:$E$6,N14:N14)</f>
        <v>3165</v>
      </c>
      <c r="O15" s="65">
        <f>SUMPRODUCT($E$15:$E$15,O14:O14)</f>
        <v>85</v>
      </c>
      <c r="P15" s="65">
        <f>SUMPRODUCT(E14,P14)</f>
        <v>1800</v>
      </c>
    </row>
    <row r="16" spans="1:17" x14ac:dyDescent="0.35">
      <c r="A16" s="44" t="s">
        <v>54</v>
      </c>
      <c r="B16" s="34"/>
      <c r="C16" s="18"/>
      <c r="D16" s="79"/>
      <c r="E16" s="34"/>
      <c r="F16" s="34"/>
      <c r="G16" s="83">
        <f>G15+P16</f>
        <v>5730</v>
      </c>
      <c r="H16" s="36"/>
      <c r="I16" s="40"/>
      <c r="J16" s="35"/>
      <c r="K16" s="36"/>
      <c r="L16" s="36"/>
      <c r="M16" s="37"/>
      <c r="N16" s="40"/>
      <c r="O16" s="40"/>
      <c r="P16" s="40">
        <v>1800</v>
      </c>
    </row>
    <row r="18" spans="5:16" x14ac:dyDescent="0.35">
      <c r="E18" s="27" t="s">
        <v>75</v>
      </c>
      <c r="F18" s="78">
        <f>F15/0.46</f>
        <v>43.2</v>
      </c>
      <c r="P18" s="81"/>
    </row>
  </sheetData>
  <autoFilter ref="A5:O8" xr:uid="{0A830C18-BF67-455D-8C13-15DBB76F8784}"/>
  <phoneticPr fontId="14" type="noConversion"/>
  <dataValidations count="4">
    <dataValidation type="list" allowBlank="1" showInputMessage="1" showErrorMessage="1" sqref="B3" xr:uid="{99BABE23-9AD7-4DC5-AE56-64C3CEBBF5F6}">
      <formula1>"VN,MY,ID,TH,SG,BN"</formula1>
    </dataValidation>
    <dataValidation type="list" allowBlank="1" showInputMessage="1" showErrorMessage="1" sqref="G2" xr:uid="{B6BA073B-AC4F-49F8-9EEA-A70503CB4559}">
      <formula1>"0,15,30,45,60,90"</formula1>
    </dataValidation>
    <dataValidation type="list" allowBlank="1" showInputMessage="1" showErrorMessage="1" sqref="B4" xr:uid="{3BF50E19-E5A2-4D15-9624-7FE5FF7B7268}">
      <formula1>"Local,Oversea"</formula1>
    </dataValidation>
    <dataValidation type="list" allowBlank="1" showInputMessage="1" showErrorMessage="1" sqref="G3" xr:uid="{87437C48-052C-4FA5-B638-6BC39715FBAA}">
      <formula1>"FCA,FOB,CIF,CIP,CPT,DAP,DDU,DDP"</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10583-9E55-48BC-ACA9-35F3F4B434C3}">
  <dimension ref="A1:Q18"/>
  <sheetViews>
    <sheetView tabSelected="1" zoomScale="89" zoomScaleNormal="89" workbookViewId="0">
      <pane xSplit="6" ySplit="5" topLeftCell="G6" activePane="bottomRight" state="frozen"/>
      <selection pane="topRight" activeCell="D1" sqref="D1"/>
      <selection pane="bottomLeft" activeCell="A6" sqref="A6"/>
      <selection pane="bottomRight" activeCell="O15" sqref="O15"/>
    </sheetView>
  </sheetViews>
  <sheetFormatPr defaultColWidth="8.90625" defaultRowHeight="15.5" x14ac:dyDescent="0.35"/>
  <cols>
    <col min="1" max="1" width="12.54296875" style="22" customWidth="1"/>
    <col min="2" max="2" width="19.90625" style="22" customWidth="1"/>
    <col min="3" max="3" width="46.36328125" style="27" customWidth="1"/>
    <col min="4" max="4" width="13" style="27" customWidth="1"/>
    <col min="5" max="5" width="7.90625" style="27" customWidth="1"/>
    <col min="6" max="6" width="12.36328125" style="21" customWidth="1"/>
    <col min="7" max="7" width="18.6328125" style="38" bestFit="1" customWidth="1"/>
    <col min="8" max="8" width="17.36328125" style="38" customWidth="1"/>
    <col min="9" max="9" width="10.90625" style="38" customWidth="1"/>
    <col min="10" max="10" width="12" style="22" customWidth="1"/>
    <col min="11" max="11" width="13" style="22" customWidth="1"/>
    <col min="12" max="13" width="11.36328125" style="22" customWidth="1"/>
    <col min="14" max="14" width="12.6328125" style="38" bestFit="1" customWidth="1"/>
    <col min="15" max="15" width="12.54296875" style="22" customWidth="1"/>
    <col min="16" max="16" width="14.90625" style="22" customWidth="1"/>
    <col min="17" max="17" width="11.6328125" style="22" bestFit="1" customWidth="1"/>
    <col min="18" max="16384" width="8.90625" style="22"/>
  </cols>
  <sheetData>
    <row r="1" spans="1:17" x14ac:dyDescent="0.35">
      <c r="A1" s="17" t="s">
        <v>13</v>
      </c>
      <c r="B1" s="17" t="s">
        <v>69</v>
      </c>
      <c r="C1" s="20"/>
      <c r="D1" s="20"/>
      <c r="E1" s="38" t="s">
        <v>14</v>
      </c>
      <c r="G1" s="77">
        <v>46218</v>
      </c>
      <c r="H1" s="49"/>
      <c r="J1" s="23"/>
      <c r="K1" s="24" t="s">
        <v>27</v>
      </c>
      <c r="L1" s="25" t="s">
        <v>58</v>
      </c>
      <c r="P1" s="26"/>
    </row>
    <row r="2" spans="1:17" x14ac:dyDescent="0.35">
      <c r="A2" s="22" t="s">
        <v>55</v>
      </c>
      <c r="B2" s="22" t="s">
        <v>68</v>
      </c>
      <c r="C2" s="28"/>
      <c r="D2" s="28"/>
      <c r="E2" s="38" t="s">
        <v>37</v>
      </c>
      <c r="G2" s="38">
        <v>45</v>
      </c>
      <c r="H2" s="46" t="s">
        <v>76</v>
      </c>
      <c r="J2" s="23"/>
      <c r="K2" s="50" t="s">
        <v>28</v>
      </c>
      <c r="L2" s="51">
        <v>1.1000000000000001</v>
      </c>
      <c r="P2" s="26"/>
    </row>
    <row r="3" spans="1:17" x14ac:dyDescent="0.35">
      <c r="A3" s="17" t="s">
        <v>35</v>
      </c>
      <c r="B3" s="54" t="s">
        <v>70</v>
      </c>
      <c r="E3" s="47" t="s">
        <v>26</v>
      </c>
      <c r="H3" s="38" t="s">
        <v>63</v>
      </c>
      <c r="I3" s="48" t="s">
        <v>65</v>
      </c>
      <c r="J3" s="23"/>
      <c r="K3" s="50" t="s">
        <v>33</v>
      </c>
      <c r="L3" s="52">
        <v>25500</v>
      </c>
    </row>
    <row r="4" spans="1:17" x14ac:dyDescent="0.35">
      <c r="A4" s="17" t="s">
        <v>56</v>
      </c>
      <c r="B4" s="54" t="s">
        <v>59</v>
      </c>
      <c r="F4" s="29"/>
      <c r="G4" s="47"/>
      <c r="H4" s="38" t="s">
        <v>71</v>
      </c>
      <c r="I4" s="47" t="s">
        <v>72</v>
      </c>
      <c r="J4" s="23"/>
      <c r="K4" s="50"/>
      <c r="L4" s="53"/>
      <c r="M4" s="46" t="s">
        <v>34</v>
      </c>
    </row>
    <row r="5" spans="1:17" ht="31" x14ac:dyDescent="0.35">
      <c r="A5" s="30" t="s">
        <v>60</v>
      </c>
      <c r="B5" s="30" t="s">
        <v>23</v>
      </c>
      <c r="C5" s="30" t="s">
        <v>36</v>
      </c>
      <c r="D5" s="30" t="s">
        <v>57</v>
      </c>
      <c r="E5" s="31" t="s">
        <v>39</v>
      </c>
      <c r="F5" s="31" t="s">
        <v>38</v>
      </c>
      <c r="G5" s="45" t="s">
        <v>15</v>
      </c>
      <c r="H5" s="45" t="s">
        <v>16</v>
      </c>
      <c r="I5" s="45" t="s">
        <v>41</v>
      </c>
      <c r="J5" s="32" t="s">
        <v>40</v>
      </c>
      <c r="K5" s="32" t="s">
        <v>17</v>
      </c>
      <c r="L5" s="33" t="s">
        <v>12</v>
      </c>
      <c r="M5" s="33" t="s">
        <v>18</v>
      </c>
      <c r="N5" s="39" t="s">
        <v>19</v>
      </c>
      <c r="O5" s="33" t="s">
        <v>20</v>
      </c>
    </row>
    <row r="6" spans="1:17" ht="39.75" customHeight="1" x14ac:dyDescent="0.35">
      <c r="A6" s="34">
        <v>1</v>
      </c>
      <c r="B6" s="34">
        <v>480131200</v>
      </c>
      <c r="C6" s="74" t="s">
        <v>66</v>
      </c>
      <c r="D6" s="73" t="s">
        <v>62</v>
      </c>
      <c r="E6" s="71">
        <v>30</v>
      </c>
      <c r="F6" s="76">
        <f>(43.2/E6)*0.46</f>
        <v>0.6624000000000001</v>
      </c>
      <c r="G6" s="75">
        <f>ROUNDUP(M6/(1-J6),0)</f>
        <v>131</v>
      </c>
      <c r="H6" s="69">
        <f>E6*G6</f>
        <v>3930</v>
      </c>
      <c r="I6" s="68">
        <f t="shared" ref="I6" si="0">G6-M6</f>
        <v>22.666666666666671</v>
      </c>
      <c r="J6" s="35">
        <v>0.17</v>
      </c>
      <c r="K6" s="70">
        <f>E6*I6</f>
        <v>680.00000000000011</v>
      </c>
      <c r="L6" s="70">
        <f>M6*E6</f>
        <v>3250</v>
      </c>
      <c r="M6" s="68">
        <f>SUM(N6:O6)</f>
        <v>108.33333333333333</v>
      </c>
      <c r="N6" s="67">
        <v>105.5</v>
      </c>
      <c r="O6" s="61">
        <f>85*(N6/$N$7)</f>
        <v>2.8333333333333335</v>
      </c>
      <c r="P6" s="38"/>
      <c r="Q6" s="60"/>
    </row>
    <row r="7" spans="1:17" s="63" customFormat="1" ht="24" customHeight="1" x14ac:dyDescent="0.35">
      <c r="A7" s="62"/>
      <c r="B7" s="62"/>
      <c r="C7" s="64"/>
      <c r="D7" s="64"/>
      <c r="E7" s="72">
        <f>SUM(E6:E6)</f>
        <v>30</v>
      </c>
      <c r="F7" s="65">
        <f>SUMPRODUCT($E$6:$E$6,F6:F6)</f>
        <v>19.872000000000003</v>
      </c>
      <c r="G7" s="65">
        <f>SUMPRODUCT($E$6:$E$6,G6:G6)</f>
        <v>3930</v>
      </c>
      <c r="H7" s="65">
        <f>SUM(H6:H6)</f>
        <v>3930</v>
      </c>
      <c r="I7" s="65">
        <f>SUMPRODUCT($E$6:$E$6,I6:I6)</f>
        <v>680.00000000000011</v>
      </c>
      <c r="J7" s="66">
        <f>AVERAGE(J6:J6)</f>
        <v>0.17</v>
      </c>
      <c r="K7" s="65">
        <f>SUM(K6:K6)</f>
        <v>680.00000000000011</v>
      </c>
      <c r="L7" s="65">
        <f>SUM(L6:L6)</f>
        <v>3250</v>
      </c>
      <c r="M7" s="65">
        <f>SUMPRODUCT($E$6:$E$6,M6:M6)</f>
        <v>3250</v>
      </c>
      <c r="N7" s="65">
        <f>SUMPRODUCT($E$6:$E$6,N6:N6)</f>
        <v>3165</v>
      </c>
      <c r="O7" s="65">
        <f>SUMPRODUCT($E$6:$E$6,O6:O6)</f>
        <v>85</v>
      </c>
      <c r="P7" s="65"/>
    </row>
    <row r="8" spans="1:17" x14ac:dyDescent="0.35">
      <c r="A8" s="44" t="s">
        <v>54</v>
      </c>
      <c r="B8" s="34"/>
      <c r="C8" s="18"/>
      <c r="D8" s="79"/>
      <c r="E8" s="34"/>
      <c r="F8" s="34"/>
      <c r="G8" s="40"/>
      <c r="H8" s="36"/>
      <c r="I8" s="40"/>
      <c r="J8" s="35"/>
      <c r="K8" s="36"/>
      <c r="L8" s="36"/>
      <c r="M8" s="37"/>
      <c r="N8" s="40"/>
      <c r="O8" s="40"/>
    </row>
    <row r="10" spans="1:17" x14ac:dyDescent="0.35">
      <c r="F10" s="78">
        <f>F7/0.46</f>
        <v>43.2</v>
      </c>
    </row>
    <row r="12" spans="1:17" x14ac:dyDescent="0.35">
      <c r="B12" s="22" t="s">
        <v>74</v>
      </c>
    </row>
    <row r="13" spans="1:17" ht="31" x14ac:dyDescent="0.35">
      <c r="A13" s="30" t="s">
        <v>60</v>
      </c>
      <c r="B13" s="30" t="s">
        <v>23</v>
      </c>
      <c r="C13" s="30" t="s">
        <v>36</v>
      </c>
      <c r="D13" s="30" t="s">
        <v>57</v>
      </c>
      <c r="E13" s="31" t="s">
        <v>39</v>
      </c>
      <c r="F13" s="31" t="s">
        <v>38</v>
      </c>
      <c r="G13" s="45" t="s">
        <v>15</v>
      </c>
      <c r="H13" s="45" t="s">
        <v>16</v>
      </c>
      <c r="I13" s="45" t="s">
        <v>41</v>
      </c>
      <c r="J13" s="32" t="s">
        <v>40</v>
      </c>
      <c r="K13" s="32" t="s">
        <v>17</v>
      </c>
      <c r="L13" s="33" t="s">
        <v>12</v>
      </c>
      <c r="M13" s="33" t="s">
        <v>18</v>
      </c>
      <c r="N13" s="39" t="s">
        <v>19</v>
      </c>
      <c r="O13" s="33" t="s">
        <v>20</v>
      </c>
      <c r="P13" s="33" t="s">
        <v>73</v>
      </c>
    </row>
    <row r="14" spans="1:17" ht="31" x14ac:dyDescent="0.35">
      <c r="A14" s="34">
        <v>1</v>
      </c>
      <c r="B14" s="34">
        <v>480131200</v>
      </c>
      <c r="C14" s="74" t="s">
        <v>66</v>
      </c>
      <c r="D14" s="73" t="s">
        <v>62</v>
      </c>
      <c r="E14" s="71">
        <v>30</v>
      </c>
      <c r="F14" s="76">
        <f>(43.2/E14)*0.46</f>
        <v>0.6624000000000001</v>
      </c>
      <c r="G14" s="75">
        <f>ROUNDUP(M14/(1-J14),0)</f>
        <v>133</v>
      </c>
      <c r="H14" s="69">
        <f>E14*G14</f>
        <v>3990</v>
      </c>
      <c r="I14" s="68">
        <f t="shared" ref="I14" si="1">G14-M14</f>
        <v>22.688541666666666</v>
      </c>
      <c r="J14" s="35">
        <v>0.17</v>
      </c>
      <c r="K14" s="70">
        <f>E14*I14</f>
        <v>680.65625</v>
      </c>
      <c r="L14" s="70">
        <f>M14*E14</f>
        <v>3309.34375</v>
      </c>
      <c r="M14" s="68">
        <f>SUM(N14:O14)</f>
        <v>110.31145833333333</v>
      </c>
      <c r="N14" s="67">
        <v>105.5</v>
      </c>
      <c r="O14" s="82">
        <f>N14*(15%*45/360)+85*(N14/$N$15)</f>
        <v>4.8114583333333334</v>
      </c>
      <c r="P14" s="80">
        <f>(Logistic!G2*('Margin Analysic (2)'!F14/'Margin Analysic (2)'!F15))</f>
        <v>60</v>
      </c>
    </row>
    <row r="15" spans="1:17" x14ac:dyDescent="0.35">
      <c r="A15" s="62"/>
      <c r="B15" s="62"/>
      <c r="C15" s="64"/>
      <c r="D15" s="64"/>
      <c r="E15" s="72">
        <f>SUM(E14:E14)</f>
        <v>30</v>
      </c>
      <c r="F15" s="65">
        <f>SUMPRODUCT($E$6:$E$6,F14:F14)</f>
        <v>19.872000000000003</v>
      </c>
      <c r="G15" s="65">
        <f>SUMPRODUCT($E$6:$E$6,G14:G14)</f>
        <v>3990</v>
      </c>
      <c r="H15" s="65">
        <f>SUM(H14:H14)</f>
        <v>3990</v>
      </c>
      <c r="I15" s="65">
        <f>SUMPRODUCT($E$6:$E$6,I14:I14)</f>
        <v>680.65625</v>
      </c>
      <c r="J15" s="66">
        <f>AVERAGE(J14:J14)</f>
        <v>0.17</v>
      </c>
      <c r="K15" s="65">
        <f>SUM(K14:K14)</f>
        <v>680.65625</v>
      </c>
      <c r="L15" s="65">
        <f>SUM(L14:L14)</f>
        <v>3309.34375</v>
      </c>
      <c r="M15" s="65">
        <f>SUMPRODUCT($E$6:$E$6,M14:M14)</f>
        <v>3309.34375</v>
      </c>
      <c r="N15" s="65">
        <f>SUMPRODUCT($E$6:$E$6,N14:N14)</f>
        <v>3165</v>
      </c>
      <c r="O15" s="65">
        <f>SUMPRODUCT($E$15:$E$15,O14:O14)</f>
        <v>144.34375</v>
      </c>
      <c r="P15" s="65">
        <f>SUMPRODUCT(E14,P14)</f>
        <v>1800</v>
      </c>
    </row>
    <row r="16" spans="1:17" x14ac:dyDescent="0.35">
      <c r="A16" s="44" t="s">
        <v>54</v>
      </c>
      <c r="B16" s="34"/>
      <c r="C16" s="18"/>
      <c r="D16" s="79"/>
      <c r="E16" s="34"/>
      <c r="F16" s="34"/>
      <c r="G16" s="40">
        <f>G15+P16</f>
        <v>5090</v>
      </c>
      <c r="H16" s="36"/>
      <c r="I16" s="40"/>
      <c r="J16" s="35"/>
      <c r="K16" s="36"/>
      <c r="L16" s="36"/>
      <c r="M16" s="37"/>
      <c r="N16" s="40"/>
      <c r="O16" s="40"/>
      <c r="P16" s="40">
        <v>1100</v>
      </c>
    </row>
    <row r="18" spans="5:16" x14ac:dyDescent="0.35">
      <c r="E18" s="27" t="s">
        <v>75</v>
      </c>
      <c r="F18" s="78">
        <f>F15/0.46</f>
        <v>43.2</v>
      </c>
      <c r="P18" s="81"/>
    </row>
  </sheetData>
  <autoFilter ref="A5:O8" xr:uid="{0A830C18-BF67-455D-8C13-15DBB76F8784}"/>
  <dataValidations count="4">
    <dataValidation type="list" allowBlank="1" showInputMessage="1" showErrorMessage="1" sqref="G3" xr:uid="{0D2E5201-D1D5-4F1E-8E6A-C32F513AB8DE}">
      <formula1>"FCA,FOB,CIF,CIP,CPT,DAP,DDU,DDP"</formula1>
    </dataValidation>
    <dataValidation type="list" allowBlank="1" showInputMessage="1" showErrorMessage="1" sqref="B4" xr:uid="{B3EEBC3A-D78B-408D-82E8-C122AE9C8A27}">
      <formula1>"Local,Oversea"</formula1>
    </dataValidation>
    <dataValidation type="list" allowBlank="1" showInputMessage="1" showErrorMessage="1" sqref="G2" xr:uid="{523544F2-7EBD-42E7-B02A-1E190AA521B4}">
      <formula1>"0,15,30,45,60,90"</formula1>
    </dataValidation>
    <dataValidation type="list" allowBlank="1" showInputMessage="1" showErrorMessage="1" sqref="B3" xr:uid="{AF1DF325-B78B-4647-BE38-C5D93891C420}">
      <formula1>"VN,MY,ID,TH,SG,BN"</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Logistic</vt:lpstr>
      <vt:lpstr>Bank Fee</vt:lpstr>
      <vt:lpstr>Guide</vt:lpstr>
      <vt:lpstr>Margin Analysic</vt:lpstr>
      <vt:lpstr>Margin Analysic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duythai</dc:creator>
  <cp:keywords/>
  <dc:description/>
  <cp:lastModifiedBy>PSBV DRT TEAMS</cp:lastModifiedBy>
  <cp:revision/>
  <cp:lastPrinted>2025-02-18T04:09:08Z</cp:lastPrinted>
  <dcterms:created xsi:type="dcterms:W3CDTF">2016-03-14T03:36:15Z</dcterms:created>
  <dcterms:modified xsi:type="dcterms:W3CDTF">2026-08-13T07:26:46Z</dcterms:modified>
  <cp:category/>
  <cp:contentStatus/>
</cp:coreProperties>
</file>