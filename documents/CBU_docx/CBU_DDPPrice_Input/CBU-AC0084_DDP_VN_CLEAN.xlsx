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500"/>
  </bookViews>
  <sheets>
    <sheet name="Guide" sheetId="1" r:id="rId1"/>
    <sheet name="Margin Analysis" sheetId="2" r:id="rId2"/>
    <sheet name="Logistic" sheetId="3" r:id="rId3"/>
    <sheet name="Bank Fe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<sst xmlns="http://schemas.openxmlformats.org/spreadsheetml/2006/main" count="490" uniqueCount="280">
  <si>
    <t>HƯỚNG DẪN — Ô NÀO NHẬP TAY, Ô NÀO TỰ TÍNH</t>
  </si>
  <si>
    <t>QUY ƯỚC MÀU</t>
  </si>
  <si>
    <t>Chữ XANH DƯƠNG + nền vàng</t>
  </si>
  <si>
    <t>Ô INPUT — bạn nhập tay</t>
  </si>
  <si>
    <t>Chữ ĐEN</t>
  </si>
  <si>
    <t>Công thức tính trong cùng sheet — KHÔNG sửa</t>
  </si>
  <si>
    <t>Chữ XANH LÁ</t>
  </si>
  <si>
    <t>Công thức link sang sheet khác — KHÔNG sửa</t>
  </si>
  <si>
    <t>THỨ TỰ NHẬP LIỆU</t>
  </si>
  <si>
    <t>1. Sheet "Margin Analysis" — điền thông tin đơn hàng (B3:B9) và bảng PRICING PARAMETERS (F3:F13).</t>
  </si>
  <si>
    <t>2. Sheet "Logistic" — điền FREIGHT, Clearance, Inland, Chargeable weight cho từng shipment.</t>
  </si>
  <si>
    <t>3. Sheet "Bank Fee" — điền Rate, Min fee, và Base amount của International receive (F6).</t>
  </si>
  <si>
    <t>4. Sheet "Margin Analysis" — điền danh mục hàng: cột A–F, H, I của mỗi block.</t>
  </si>
  <si>
    <t>5. Toàn bộ DDP Price, Margin, Total Revenue tự động chạy ra. Không cần dò tay giá bán.</t>
  </si>
  <si>
    <t>BẢN ĐỒ INPUT / CÔNG THỨC</t>
  </si>
  <si>
    <t>SHEET</t>
  </si>
  <si>
    <t>Ô / CỘT</t>
  </si>
  <si>
    <t>INDICATOR</t>
  </si>
  <si>
    <t>LOẠI</t>
  </si>
  <si>
    <t>CÔNG THỨC / GHI CHÚ</t>
  </si>
  <si>
    <t>Margin Analysis</t>
  </si>
  <si>
    <t>B3:B9</t>
  </si>
  <si>
    <t>Job No., Customer, Country, Goods origin, Incoterm, Payment terms, Inquiry date</t>
  </si>
  <si>
    <t>INPUT</t>
  </si>
  <si>
    <t>B5 (Country) và B6 (Goods origin) điều khiển công thức ở sheet Bank Fee</t>
  </si>
  <si>
    <t>F3</t>
  </si>
  <si>
    <t>Exchange rate (quote) USD→VND</t>
  </si>
  <si>
    <t>Dùng để quy DDP USD sang VND</t>
  </si>
  <si>
    <t>F4</t>
  </si>
  <si>
    <t>Exchange rate (booking) USD→VND</t>
  </si>
  <si>
    <t>Chỉ dùng cho phần tính margin thực tế</t>
  </si>
  <si>
    <t>F5</t>
  </si>
  <si>
    <t>Target margin (m)</t>
  </si>
  <si>
    <t>Đổi ô này → toàn bộ giá bán tự tính lại</t>
  </si>
  <si>
    <t>F6</t>
  </si>
  <si>
    <t>Commission rate (q)</t>
  </si>
  <si>
    <t>Tính trên giá bán</t>
  </si>
  <si>
    <t>F7</t>
  </si>
  <si>
    <t>CIT on commission (c)</t>
  </si>
  <si>
    <t>Thuế nhà thầu</t>
  </si>
  <si>
    <t>F8:F11</t>
  </si>
  <si>
    <t>% Value financed, Interest rate, Financing days, Days per year</t>
  </si>
  <si>
    <t>Cấu thành chi phí vốn ở cột J</t>
  </si>
  <si>
    <t>F12</t>
  </si>
  <si>
    <t>VND rounding step</t>
  </si>
  <si>
    <t>10.000 = làm tròn lên chục nghìn</t>
  </si>
  <si>
    <t>F13</t>
  </si>
  <si>
    <t>Conversion factor lb → kg</t>
  </si>
  <si>
    <t>Đặt = 1 nếu cột F nhập bằng kg</t>
  </si>
  <si>
    <t>A:F, H, I</t>
  </si>
  <si>
    <t>ITEM, Part No., Description, Supplier, Q'ty, Total Weight (lb), Material Cost, %Duty</t>
  </si>
  <si>
    <t>Đây là 8 cột duy nhất phải nhập cho mỗi dòng hàng</t>
  </si>
  <si>
    <t>G</t>
  </si>
  <si>
    <t>Weight (kg) / đơn vị</t>
  </si>
  <si>
    <t>CÔNG THỨC</t>
  </si>
  <si>
    <t>→ Total Weight (lb) ÷ Q'ty × Conversion factor</t>
  </si>
  <si>
    <t>J</t>
  </si>
  <si>
    <t>Bank fee</t>
  </si>
  <si>
    <t>→ Material Cost × % Value financed × (Interest rate × Financing days ÷ 360) + Total Bank Fee × (Material dòng ÷ Total material)</t>
  </si>
  <si>
    <t>K</t>
  </si>
  <si>
    <t>Logistics</t>
  </si>
  <si>
    <t>→ Total Logistic + Insurance của shipment × (Weight đơn vị ÷ Total weight)</t>
  </si>
  <si>
    <t>L</t>
  </si>
  <si>
    <t>Duty</t>
  </si>
  <si>
    <t>→ (Material Cost + Logistics) × %Duty</t>
  </si>
  <si>
    <t>P</t>
  </si>
  <si>
    <t>DDP Price (USD)</t>
  </si>
  <si>
    <t>→ ROUNDUP( (Material Cost + Bank fee + Logistics + Duty) ÷ (1 − m − q×(1+c)) , 2 ) — công thức phá vòng lặp</t>
  </si>
  <si>
    <t>M</t>
  </si>
  <si>
    <t>Commission</t>
  </si>
  <si>
    <t>→ Commission rate × DDP Price (USD)</t>
  </si>
  <si>
    <t>N</t>
  </si>
  <si>
    <t>CIT</t>
  </si>
  <si>
    <t>→ CIT rate × Commission</t>
  </si>
  <si>
    <t>O</t>
  </si>
  <si>
    <t>Unit Cost</t>
  </si>
  <si>
    <t>→ Material Cost + Bank fee + Logistics + Duty + Commission + CIT</t>
  </si>
  <si>
    <t>Q</t>
  </si>
  <si>
    <t>DDP Price (VND)</t>
  </si>
  <si>
    <t>→ ROUNDUP(DDP Price USD × Exchange rate ÷ rounding step) × rounding step</t>
  </si>
  <si>
    <t>R</t>
  </si>
  <si>
    <t>Total Revenue (VND)</t>
  </si>
  <si>
    <t>→ Q'ty × DDP Price (VND)</t>
  </si>
  <si>
    <t>S</t>
  </si>
  <si>
    <t>Margin per unit</t>
  </si>
  <si>
    <t>→ DDP Price (USD) − Unit Cost</t>
  </si>
  <si>
    <t>T</t>
  </si>
  <si>
    <t>% Margin</t>
  </si>
  <si>
    <t>→ Margin per unit ÷ DDP Price (USD) (≥ Target margin do làm tròn lên)</t>
  </si>
  <si>
    <t>U, V</t>
  </si>
  <si>
    <t>Total Margin, Total Cost</t>
  </si>
  <si>
    <t>→ Q'ty × Margin per unit / × Unit Cost</t>
  </si>
  <si>
    <t>Dòng TOTAL</t>
  </si>
  <si>
    <t>Tất cả cột</t>
  </si>
  <si>
    <t>SUMPRODUCT(Q'ty × cột đơn vị) cho cột đơn vị; SUM() cho cột đã nhân số lượng</t>
  </si>
  <si>
    <t>Khối SUMMARY</t>
  </si>
  <si>
    <t>So sánh AIR/SEA, Effective margin, checks</t>
  </si>
  <si>
    <t>Hai dòng CHECK phải bằng 0 — nếu khác 0 là công thức đã bị sửa sai</t>
  </si>
  <si>
    <t>Logistic</t>
  </si>
  <si>
    <t>C:I (trừ B)</t>
  </si>
  <si>
    <t>From, To, MOT, Forwarder, Fixed charge, Rate, Chargeable weight</t>
  </si>
  <si>
    <t>Theo báo giá của forwarder</t>
  </si>
  <si>
    <t>K, L</t>
  </si>
  <si>
    <t>Clearance, Inland</t>
  </si>
  <si>
    <t>Chi phí trọn gói mỗi shipment</t>
  </si>
  <si>
    <t>P, Q, R</t>
  </si>
  <si>
    <t>% Insured value, Insurance rate, Min insurance</t>
  </si>
  <si>
    <t>Mặc định 110%, 0,01%, min 15 USD</t>
  </si>
  <si>
    <t>B</t>
  </si>
  <si>
    <t>Weight (kg)</t>
  </si>
  <si>
    <t>→ Total weight của khối tương ứng bên Margin Analysis</t>
  </si>
  <si>
    <t>Goods value (USD)</t>
  </si>
  <si>
    <t>→ Total Material Cost bên Margin Analysis</t>
  </si>
  <si>
    <t>FREIGHT</t>
  </si>
  <si>
    <t>→ Fixed charge + Rate × Chargeable weight</t>
  </si>
  <si>
    <t>Total Logistic</t>
  </si>
  <si>
    <t>→ FREIGHT + Clearance + Inland</t>
  </si>
  <si>
    <t>USD/kg</t>
  </si>
  <si>
    <t>→ Total Logistic ÷ Weight (kg)</t>
  </si>
  <si>
    <t>Insurance</t>
  </si>
  <si>
    <t>→ MAX((Goods value + FREIGHT) × % Insured value × Insurance rate ; Min insurance)</t>
  </si>
  <si>
    <t>Total Logistic + Insurance</t>
  </si>
  <si>
    <t>→ Total Logistic + Insurance → pool phân bổ sang Margin Analysis</t>
  </si>
  <si>
    <t>Bank Fee</t>
  </si>
  <si>
    <t>C5:E6</t>
  </si>
  <si>
    <t>Rate, VAT factor, Min fee</t>
  </si>
  <si>
    <t>Theo biểu phí ngân hàng</t>
  </si>
  <si>
    <t>Base amount (International receive)</t>
  </si>
  <si>
    <t>Nhập tay giá trị hợp đồng USD — tránh vòng lặp công thức</t>
  </si>
  <si>
    <t>H7</t>
  </si>
  <si>
    <t>Other bank charges</t>
  </si>
  <si>
    <t>Để 0 nếu không có</t>
  </si>
  <si>
    <t>Base amount (International remittance)</t>
  </si>
  <si>
    <t>H5</t>
  </si>
  <si>
    <t>International remittance fee</t>
  </si>
  <si>
    <t>→ IF(Goods origin="Local"; 0; MAX(Rate × VAT factor × Base; Min fee))</t>
  </si>
  <si>
    <t>H6</t>
  </si>
  <si>
    <t>International receive fee</t>
  </si>
  <si>
    <t>→ IF(Country="VN"; 0; MAX(Rate × VAT factor × Base; Min fee))</t>
  </si>
  <si>
    <t>H8</t>
  </si>
  <si>
    <t>TOTAL BANK FEE</t>
  </si>
  <si>
    <t>→ SUM(H5:H7) → phân bổ sang cột J của Margin Analysis</t>
  </si>
  <si>
    <t>MARGIN ANALYSIS – TÍNH GIÁ DDP</t>
  </si>
  <si>
    <t>PRICING PARAMETERS  (ô vàng = input)</t>
  </si>
  <si>
    <t>Job No.</t>
  </si>
  <si>
    <t>AC0084-PCS-OTHVN</t>
  </si>
  <si>
    <t>Quy DDP USD sang VND</t>
  </si>
  <si>
    <t>Customer</t>
  </si>
  <si>
    <t>Hoang Son</t>
  </si>
  <si>
    <t>Tỷ giá ghi nhận thực tế</t>
  </si>
  <si>
    <t>Country</t>
  </si>
  <si>
    <t>VN</t>
  </si>
  <si>
    <t>Lãi gộp trên giá bán</t>
  </si>
  <si>
    <t>Goods origin</t>
  </si>
  <si>
    <t>Oversea</t>
  </si>
  <si>
    <t>Tính trên giá bán DDP USD</t>
  </si>
  <si>
    <t>Incoterm</t>
  </si>
  <si>
    <t>DDP Vung Tau</t>
  </si>
  <si>
    <t>%</t>
  </si>
  <si>
    <t>Thuế nhà thầu trên hoa hồng</t>
  </si>
  <si>
    <t>Payment terms</t>
  </si>
  <si>
    <t>30% with order, 70% prior shipment</t>
  </si>
  <si>
    <t>% Value financed</t>
  </si>
  <si>
    <t>Theo điều khoản 30/70</t>
  </si>
  <si>
    <t>Inquiry date</t>
  </si>
  <si>
    <t>2026-08-09</t>
  </si>
  <si>
    <t>Interest rate p.a.</t>
  </si>
  <si>
    <t>Chi phí vốn</t>
  </si>
  <si>
    <t>Financing days</t>
  </si>
  <si>
    <t>Số ngày tài trợ vốn</t>
  </si>
  <si>
    <t>Ghi chú: chữ XANH DƯƠNG = ô nhập tay · chữ ĐEN = công thức · chữ XANH LÁ = link sang sheet khác</t>
  </si>
  <si>
    <t>Days per year</t>
  </si>
  <si>
    <t>Cơ sở quy đổi lãi</t>
  </si>
  <si>
    <t>Giá VND làm tròn LÊN bội số này</t>
  </si>
  <si>
    <t>BLOCK 1 — AIR FREIGHT</t>
  </si>
  <si>
    <t>Đặt = 1 nếu cột KL đã nhập bằng kg</t>
  </si>
  <si>
    <t>ITEM</t>
  </si>
  <si>
    <t>Part No.</t>
  </si>
  <si>
    <t>Description</t>
  </si>
  <si>
    <t>Supplier</t>
  </si>
  <si>
    <t>Q'ty</t>
  </si>
  <si>
    <t>Total Weight (lb)</t>
  </si>
  <si>
    <t>Material Cost</t>
  </si>
  <si>
    <t>%Duty</t>
  </si>
  <si>
    <t>Total Margin</t>
  </si>
  <si>
    <t>Total Cost</t>
  </si>
  <si>
    <t>A23-170</t>
  </si>
  <si>
    <t>(2633) 7 5/8" - 9 5/8" BASIC INSERT</t>
  </si>
  <si>
    <t>Keystone</t>
  </si>
  <si>
    <t>A23-170-B</t>
  </si>
  <si>
    <t>7 5/8" - 9 5/8" BEVELED BASIC INSERT (2633-B)</t>
  </si>
  <si>
    <t>A23-186</t>
  </si>
  <si>
    <t>(2649) SD INSERT ''UNDERSIZED''</t>
  </si>
  <si>
    <t>A23-186-B</t>
  </si>
  <si>
    <t>(2649B) SD BEVELED INSERT BEVELED</t>
  </si>
  <si>
    <t>A23-172</t>
  </si>
  <si>
    <t>(2637) 11 3/4" - 13 3/8" BASIC INSERT</t>
  </si>
  <si>
    <t>A23-172-B</t>
  </si>
  <si>
    <t>(2637B) 11-3/4" x 11-3/4" SD BEVELED INSERT</t>
  </si>
  <si>
    <t>A23-171</t>
  </si>
  <si>
    <t>(2640) 9 5/8" X 8 5/8" SD INSERT</t>
  </si>
  <si>
    <t>A23-171-B</t>
  </si>
  <si>
    <t>(2640) 9 5/8" X 8 5/8" SD BEVELED REDUCING INSERT</t>
  </si>
  <si>
    <t>A23-173</t>
  </si>
  <si>
    <t>(2636) 14" X 13 3/8" SD INSERT</t>
  </si>
  <si>
    <t>A23-173-B</t>
  </si>
  <si>
    <t>(2636) 14" X 13 3/8" SD BEVELED INSERT</t>
  </si>
  <si>
    <t>A23-180</t>
  </si>
  <si>
    <t>(2653) 14" X 13 5/8" SD INSERT</t>
  </si>
  <si>
    <t>A23-180-B</t>
  </si>
  <si>
    <t>(2653) 14" X 13 5/8" BEVELED SD INSERT</t>
  </si>
  <si>
    <t>A23-169</t>
  </si>
  <si>
    <t>(2623) 7 5/8" X 7" SD INSERT</t>
  </si>
  <si>
    <t>A23-169-B</t>
  </si>
  <si>
    <t>(2623-B) 7 5/8" X 7" SD INSERT</t>
  </si>
  <si>
    <t>TOTAL</t>
  </si>
  <si>
    <t>BLOCK 2 — SEA FREIGHT</t>
  </si>
  <si>
    <t>SUMMARY &amp; CHECKS</t>
  </si>
  <si>
    <t>Indicator</t>
  </si>
  <si>
    <t>AIR</t>
  </si>
  <si>
    <t>SEA</t>
  </si>
  <si>
    <t>Revenue in USD @ quote rate</t>
  </si>
  <si>
    <t>Revenue in USD @ booking rate</t>
  </si>
  <si>
    <t>Total Cost (USD)</t>
  </si>
  <si>
    <t>Nominal Margin % (on DDP USD)</t>
  </si>
  <si>
    <t>Effective Margin % (after rounding &amp; FX)</t>
  </si>
  <si>
    <t>Effective Gross Profit (USD)</t>
  </si>
  <si>
    <t>Total Logistics allocated (USD)</t>
  </si>
  <si>
    <t>Total Bank fee &amp; Financial cost (USD)</t>
  </si>
  <si>
    <t>CHECK: Unit Cost = H+J+K+L+M+N (phải = 0)</t>
  </si>
  <si>
    <t>CHECK: Bank fee allocated = Bank Fee!H8 (phải = 0)</t>
  </si>
  <si>
    <t>Revenue difference AIR - SEA (VND)</t>
  </si>
  <si>
    <t>LOGISTIC — FREIGHT &amp; INSURANCE COST POOL</t>
  </si>
  <si>
    <t>Chữ xanh dương = input · đen = công thức · xanh lá = link sang Margin Analysis</t>
  </si>
  <si>
    <t>Shipment</t>
  </si>
  <si>
    <t>From</t>
  </si>
  <si>
    <t>To</t>
  </si>
  <si>
    <t>MOT</t>
  </si>
  <si>
    <t>Forwarder</t>
  </si>
  <si>
    <t>Fixed charge (USD)</t>
  </si>
  <si>
    <t>Rate (USD/kg)</t>
  </si>
  <si>
    <t>Chargeable weight (kg)</t>
  </si>
  <si>
    <t>FREIGHT (USD)</t>
  </si>
  <si>
    <t>Clearance (USD)</t>
  </si>
  <si>
    <t>Inland (USD)</t>
  </si>
  <si>
    <t>Total Logistic (USD)</t>
  </si>
  <si>
    <t>% Insured value</t>
  </si>
  <si>
    <t>Insurance rate</t>
  </si>
  <si>
    <t>Min insurance (USD)</t>
  </si>
  <si>
    <t>Insurance (USD)</t>
  </si>
  <si>
    <t>Shipment 1</t>
  </si>
  <si>
    <t>US</t>
  </si>
  <si>
    <t>AIR FREIGHT</t>
  </si>
  <si>
    <t>OTHERS</t>
  </si>
  <si>
    <t>Shipment 2</t>
  </si>
  <si>
    <t>SEA FREIGHT</t>
  </si>
  <si>
    <t>Ghi chú:</t>
  </si>
  <si>
    <t>• Cột B (Weight) và cột O (Goods value) tự lấy từ sheet Margin Analysis — không sửa tay.</t>
  </si>
  <si>
    <t>• Cột I "Chargeable weight" là trọng lượng quy đổi thể tích do forwarder báo (air: 1.300 kg). Nhập tay.</t>
  </si>
  <si>
    <t>• Cước SEA nhập trọn gói ở cột G (Fixed charge), để Rate H = 0 và Chargeable weight I = 0.</t>
  </si>
  <si>
    <t>• Insurance = MAX((Goods value + FREIGHT) × 110% × 0,01% ; Min 15 USD).</t>
  </si>
  <si>
    <t>• Cột T (Total Logistic + Insurance) là pool mà sheet Margin Analysis phân bổ cho từng dòng theo trọng lượng.</t>
  </si>
  <si>
    <t>BANK FEE</t>
  </si>
  <si>
    <t>Bank: MBBANK</t>
  </si>
  <si>
    <t>No.</t>
  </si>
  <si>
    <t>Rate</t>
  </si>
  <si>
    <t>VAT factor</t>
  </si>
  <si>
    <t>Min fee (USD)</t>
  </si>
  <si>
    <t>Base amount (USD)</t>
  </si>
  <si>
    <t>Condition</t>
  </si>
  <si>
    <t>Fee (USD)</t>
  </si>
  <si>
    <t>International remittance (pay supplier)</t>
  </si>
  <si>
    <t>Applies only when Goods origin ≠ "Local"</t>
  </si>
  <si>
    <t>International receive (from customer)</t>
  </si>
  <si>
    <t>Applies only when Country ≠ "VN"</t>
  </si>
  <si>
    <t>• Tỷ lệ 0,200% × hệ số VAT 1,1 = 0,220% — đúng công thức MBBank (0,2% phí + 10% VAT).</t>
  </si>
  <si>
    <t>• Base amount của International remittance = Total Material Cost (số tiền thực trả nhà cung cấp), lấy tự động từ Margin Analysis.</t>
  </si>
  <si>
    <t>• Base amount của International receive (F6) phải NHẬP TAY giá trị hợp đồng USD, không link tự động để tránh vòng lặp công thức (revenue → bank fee → unit cost → revenue).</t>
  </si>
  <si>
    <t>• File gốc ghi nhãn 0,05% nhưng công thức là 0,005%. Bản này dùng 0,05% — vui lòng xác nhận lại biểu phí với ngân hàng.</t>
  </si>
  <si>
    <t>• Ô H8 (TOTAL BANK FEE) được sheet Margin Analysis phân bổ cho từng dòng theo tỷ trọng Material Cost.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</si>
</sst>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\ _₫_-;\-* #,##0\ _₫_-;_-* &quot;-&quot;\ _₫_-;_-@_-"/>
    <numFmt numFmtId="43" formatCode="_-* #,##0.00\ _₫_-;\-* #,##0.00\ _₫_-;_-* &quot;-&quot;??\ _₫_-;_-@_-"/>
    <numFmt numFmtId="176" formatCode="_-* #,##0.00\ &quot;₫&quot;_-;\-* #,##0.00\ &quot;₫&quot;_-;_-* &quot;-&quot;??\ &quot;₫&quot;_-;_-@_-"/>
    <numFmt numFmtId="177" formatCode="_-* #,##0\ &quot;₫&quot;_-;\-* #,##0\ &quot;₫&quot;_-;_-* &quot;-&quot;\ &quot;₫&quot;_-;_-@_-"/>
    <numFmt numFmtId="178" formatCode="0.000%"/>
    <numFmt numFmtId="179" formatCode="0.0000"/>
    <numFmt numFmtId="180" formatCode="#,##0.0000"/>
    <numFmt numFmtId="181" formatCode="#,##0.000000"/>
  </numFmts>
  <fonts count="34">
    <font>
      <sz val="11"/>
      <color theme="1"/>
      <name val="Calibri"/>
      <charset val="1"/>
    </font>
    <font>
      <b/>
      <sz val="12"/>
      <name val="Arial"/>
      <charset val="1"/>
    </font>
    <font>
      <sz val="10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i/>
      <sz val="9"/>
      <name val="Arial"/>
      <charset val="1"/>
    </font>
    <font>
      <i/>
      <sz val="8"/>
      <color rgb="FF808080"/>
      <name val="Arial"/>
      <charset val="1"/>
    </font>
    <font>
      <b/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176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177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5" applyNumberFormat="0" applyAlignment="0" applyProtection="0">
      <alignment vertical="center"/>
    </xf>
    <xf numFmtId="0" fontId="24" fillId="8" borderId="6" applyNumberFormat="0" applyAlignment="0" applyProtection="0">
      <alignment vertical="center"/>
    </xf>
    <xf numFmtId="0" fontId="25" fillId="8" borderId="5" applyNumberFormat="0" applyAlignment="0" applyProtection="0">
      <alignment vertical="center"/>
    </xf>
    <xf numFmtId="0" fontId="26" fillId="9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2" fillId="0" borderId="1" xfId="0" applyFont="1" applyBorder="1"/>
    <xf numFmtId="178" fontId="4" fillId="3" borderId="1" xfId="0" applyNumberFormat="1" applyFont="1" applyFill="1" applyBorder="1"/>
    <xf numFmtId="4" fontId="4" fillId="3" borderId="1" xfId="0" applyNumberFormat="1" applyFont="1" applyFill="1" applyBorder="1"/>
    <xf numFmtId="4" fontId="5" fillId="0" borderId="1" xfId="0" applyNumberFormat="1" applyFont="1" applyBorder="1"/>
    <xf numFmtId="4" fontId="6" fillId="0" borderId="1" xfId="0" applyNumberFormat="1" applyFont="1" applyBorder="1"/>
    <xf numFmtId="178" fontId="0" fillId="0" borderId="1" xfId="0" applyNumberFormat="1" applyBorder="1"/>
    <xf numFmtId="4" fontId="0" fillId="0" borderId="1" xfId="0" applyNumberFormat="1" applyBorder="1"/>
    <xf numFmtId="0" fontId="0" fillId="0" borderId="1" xfId="0" applyBorder="1"/>
    <xf numFmtId="4" fontId="4" fillId="0" borderId="1" xfId="0" applyNumberFormat="1" applyFont="1" applyBorder="1"/>
    <xf numFmtId="0" fontId="0" fillId="4" borderId="1" xfId="0" applyFill="1" applyBorder="1"/>
    <xf numFmtId="0" fontId="7" fillId="4" borderId="1" xfId="0" applyFont="1" applyFill="1" applyBorder="1"/>
    <xf numFmtId="178" fontId="0" fillId="4" borderId="1" xfId="0" applyNumberFormat="1" applyFill="1" applyBorder="1"/>
    <xf numFmtId="4" fontId="0" fillId="4" borderId="1" xfId="0" applyNumberFormat="1" applyFill="1" applyBorder="1"/>
    <xf numFmtId="4" fontId="7" fillId="4" borderId="1" xfId="0" applyNumberFormat="1" applyFont="1" applyFill="1" applyBorder="1"/>
    <xf numFmtId="0" fontId="7" fillId="0" borderId="0" xfId="0" applyFont="1"/>
    <xf numFmtId="0" fontId="8" fillId="0" borderId="0" xfId="0" applyFont="1"/>
    <xf numFmtId="0" fontId="9" fillId="0" borderId="0" xfId="0" applyFont="1"/>
    <xf numFmtId="10" fontId="4" fillId="0" borderId="1" xfId="0" applyNumberFormat="1" applyFont="1" applyBorder="1"/>
    <xf numFmtId="4" fontId="7" fillId="0" borderId="1" xfId="0" applyNumberFormat="1" applyFont="1" applyBorder="1"/>
    <xf numFmtId="0" fontId="7" fillId="5" borderId="0" xfId="0" applyFont="1" applyFill="1"/>
    <xf numFmtId="0" fontId="4" fillId="3" borderId="1" xfId="0" applyFont="1" applyFill="1" applyBorder="1"/>
    <xf numFmtId="3" fontId="4" fillId="3" borderId="1" xfId="0" applyNumberFormat="1" applyFont="1" applyFill="1" applyBorder="1"/>
    <xf numFmtId="0" fontId="10" fillId="0" borderId="0" xfId="0" applyFont="1"/>
    <xf numFmtId="10" fontId="4" fillId="3" borderId="1" xfId="0" applyNumberFormat="1" applyFont="1" applyFill="1" applyBorder="1"/>
    <xf numFmtId="0" fontId="1" fillId="5" borderId="0" xfId="0" applyFont="1" applyFill="1"/>
    <xf numFmtId="0" fontId="0" fillId="5" borderId="0" xfId="0" applyFill="1"/>
    <xf numFmtId="0" fontId="2" fillId="5" borderId="0" xfId="0" applyFont="1" applyFill="1"/>
    <xf numFmtId="179" fontId="4" fillId="5" borderId="1" xfId="0" applyNumberFormat="1" applyFont="1" applyFill="1" applyBorder="1"/>
    <xf numFmtId="0" fontId="10" fillId="5" borderId="0" xfId="0" applyFont="1" applyFill="1"/>
    <xf numFmtId="3" fontId="4" fillId="0" borderId="1" xfId="0" applyNumberFormat="1" applyFont="1" applyBorder="1"/>
    <xf numFmtId="180" fontId="6" fillId="0" borderId="1" xfId="0" applyNumberFormat="1" applyFont="1" applyBorder="1"/>
    <xf numFmtId="180" fontId="4" fillId="0" borderId="1" xfId="0" applyNumberFormat="1" applyFont="1" applyBorder="1"/>
    <xf numFmtId="180" fontId="5" fillId="0" borderId="1" xfId="0" applyNumberFormat="1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3" fontId="7" fillId="4" borderId="1" xfId="0" applyNumberFormat="1" applyFont="1" applyFill="1" applyBorder="1"/>
    <xf numFmtId="10" fontId="7" fillId="4" borderId="1" xfId="0" applyNumberFormat="1" applyFont="1" applyFill="1" applyBorder="1"/>
    <xf numFmtId="0" fontId="3" fillId="2" borderId="0" xfId="0" applyFont="1" applyFill="1"/>
    <xf numFmtId="181" fontId="6" fillId="0" borderId="1" xfId="0" applyNumberFormat="1" applyFont="1" applyBorder="1"/>
    <xf numFmtId="3" fontId="7" fillId="0" borderId="0" xfId="0" applyNumberFormat="1" applyFont="1"/>
    <xf numFmtId="0" fontId="4" fillId="3" borderId="0" xfId="0" applyFont="1" applyFill="1"/>
    <xf numFmtId="0" fontId="6" fillId="0" borderId="0" xfId="0" applyFont="1"/>
    <xf numFmtId="0" fontId="5" fillId="0" borderId="0" xfId="0" applyFont="1"/>
    <xf numFmtId="0" fontId="3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1" fillId="3" borderId="1" xfId="0" applyFont="1" applyFill="1" applyBorder="1" applyAlignment="1">
      <alignment vertical="top" wrapText="1"/>
    </xf>
    <xf numFmtId="0" fontId="12" fillId="0" borderId="1" xfId="0" applyFont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2F2F2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"/>
  <sheetViews>
    <sheetView tabSelected="1" workbookViewId="0">
      <pane ySplit="16" topLeftCell="A26" activePane="bottomLeft" state="frozen"/>
      <selection/>
      <selection pane="bottomLeft" activeCell="A1" sqref="A1"/>
    </sheetView>
  </sheetViews>
  <sheetFormatPr defaultColWidth="8.68181818181818" defaultRowHeight="14.5" outlineLevelCol="4"/>
  <cols>
    <col min="1" max="1" width="17" customWidth="1"/>
    <col min="2" max="2" width="16" customWidth="1"/>
    <col min="3" max="3" width="44" customWidth="1"/>
    <col min="4" max="4" width="13" customWidth="1"/>
    <col min="5" max="5" width="78" customWidth="1"/>
  </cols>
  <sheetData>
    <row r="1" ht="15.5" spans="1:5">
      <c r="A1" s="1" t="s">
        <v>0</v>
      </c>
    </row>
    <row r="3" spans="1:5">
      <c r="A3" s="19" t="s">
        <v>1</v>
      </c>
    </row>
    <row r="4" spans="1:5">
      <c r="A4" s="45" t="s">
        <v>2</v>
      </c>
      <c r="B4" s="2" t="s">
        <v>3</v>
      </c>
    </row>
    <row r="5" spans="1:5">
      <c r="A5" s="46" t="s">
        <v>4</v>
      </c>
      <c r="B5" s="2" t="s">
        <v>5</v>
      </c>
    </row>
    <row r="6" spans="1:5">
      <c r="A6" s="47" t="s">
        <v>6</v>
      </c>
      <c r="B6" s="2" t="s">
        <v>7</v>
      </c>
    </row>
    <row r="8" spans="1:5">
      <c r="A8" s="19" t="s">
        <v>8</v>
      </c>
    </row>
    <row r="9" spans="1:5">
      <c r="A9" s="2" t="s">
        <v>9</v>
      </c>
    </row>
    <row r="10" spans="1:5">
      <c r="A10" s="2" t="s">
        <v>10</v>
      </c>
    </row>
    <row r="11" spans="1:5">
      <c r="A11" s="2" t="s">
        <v>11</v>
      </c>
    </row>
    <row r="12" spans="1:5">
      <c r="A12" s="2" t="s">
        <v>12</v>
      </c>
    </row>
    <row r="13" spans="1:5">
      <c r="A13" s="2" t="s">
        <v>13</v>
      </c>
    </row>
    <row r="15" spans="1:5">
      <c r="A15" s="19" t="s">
        <v>14</v>
      </c>
    </row>
    <row r="16" spans="1:5">
      <c r="A16" s="48" t="s">
        <v>15</v>
      </c>
      <c r="B16" s="48" t="s">
        <v>16</v>
      </c>
      <c r="C16" s="48" t="s">
        <v>17</v>
      </c>
      <c r="D16" s="48" t="s">
        <v>18</v>
      </c>
      <c r="E16" s="48" t="s">
        <v>19</v>
      </c>
    </row>
    <row r="17" ht="25" spans="1:5">
      <c r="A17" s="49" t="s">
        <v>20</v>
      </c>
      <c r="B17" s="49" t="s">
        <v>21</v>
      </c>
      <c r="C17" s="49" t="s">
        <v>22</v>
      </c>
      <c r="D17" s="50" t="s">
        <v>23</v>
      </c>
      <c r="E17" s="49" t="s">
        <v>24</v>
      </c>
    </row>
    <row r="18" spans="1:5">
      <c r="A18" s="49" t="s">
        <v>20</v>
      </c>
      <c r="B18" s="49" t="s">
        <v>25</v>
      </c>
      <c r="C18" s="49" t="s">
        <v>26</v>
      </c>
      <c r="D18" s="50" t="s">
        <v>23</v>
      </c>
      <c r="E18" s="49" t="s">
        <v>27</v>
      </c>
    </row>
    <row r="19" spans="1:5">
      <c r="A19" s="49" t="s">
        <v>20</v>
      </c>
      <c r="B19" s="49" t="s">
        <v>28</v>
      </c>
      <c r="C19" s="49" t="s">
        <v>29</v>
      </c>
      <c r="D19" s="50" t="s">
        <v>23</v>
      </c>
      <c r="E19" s="49" t="s">
        <v>30</v>
      </c>
    </row>
    <row r="20" spans="1:5">
      <c r="A20" s="49" t="s">
        <v>20</v>
      </c>
      <c r="B20" s="49" t="s">
        <v>31</v>
      </c>
      <c r="C20" s="49" t="s">
        <v>32</v>
      </c>
      <c r="D20" s="50" t="s">
        <v>23</v>
      </c>
      <c r="E20" s="49" t="s">
        <v>33</v>
      </c>
    </row>
    <row r="21" spans="1:5">
      <c r="A21" s="49" t="s">
        <v>20</v>
      </c>
      <c r="B21" s="49" t="s">
        <v>34</v>
      </c>
      <c r="C21" s="49" t="s">
        <v>35</v>
      </c>
      <c r="D21" s="50" t="s">
        <v>23</v>
      </c>
      <c r="E21" s="49" t="s">
        <v>36</v>
      </c>
    </row>
    <row r="22" spans="1:5">
      <c r="A22" s="49" t="s">
        <v>20</v>
      </c>
      <c r="B22" s="49" t="s">
        <v>37</v>
      </c>
      <c r="C22" s="49" t="s">
        <v>38</v>
      </c>
      <c r="D22" s="50" t="s">
        <v>23</v>
      </c>
      <c r="E22" s="49" t="s">
        <v>39</v>
      </c>
    </row>
    <row r="23" ht="25" spans="1:5">
      <c r="A23" s="49" t="s">
        <v>20</v>
      </c>
      <c r="B23" s="49" t="s">
        <v>40</v>
      </c>
      <c r="C23" s="49" t="s">
        <v>41</v>
      </c>
      <c r="D23" s="50" t="s">
        <v>23</v>
      </c>
      <c r="E23" s="49" t="s">
        <v>42</v>
      </c>
    </row>
    <row r="24" spans="1:5">
      <c r="A24" s="49" t="s">
        <v>20</v>
      </c>
      <c r="B24" s="49" t="s">
        <v>43</v>
      </c>
      <c r="C24" s="49" t="s">
        <v>44</v>
      </c>
      <c r="D24" s="50" t="s">
        <v>23</v>
      </c>
      <c r="E24" s="49" t="s">
        <v>45</v>
      </c>
    </row>
    <row r="25" spans="1:5">
      <c r="A25" s="49" t="s">
        <v>20</v>
      </c>
      <c r="B25" s="49" t="s">
        <v>46</v>
      </c>
      <c r="C25" s="49" t="s">
        <v>47</v>
      </c>
      <c r="D25" s="50" t="s">
        <v>23</v>
      </c>
      <c r="E25" s="49" t="s">
        <v>48</v>
      </c>
    </row>
    <row r="26" ht="25" spans="1:5">
      <c r="A26" s="49" t="s">
        <v>20</v>
      </c>
      <c r="B26" s="49" t="s">
        <v>49</v>
      </c>
      <c r="C26" s="49" t="s">
        <v>50</v>
      </c>
      <c r="D26" s="50" t="s">
        <v>23</v>
      </c>
      <c r="E26" s="49" t="s">
        <v>51</v>
      </c>
    </row>
    <row r="27" spans="1:5">
      <c r="A27" s="49" t="s">
        <v>20</v>
      </c>
      <c r="B27" s="49" t="s">
        <v>52</v>
      </c>
      <c r="C27" s="49" t="s">
        <v>53</v>
      </c>
      <c r="D27" s="51" t="s">
        <v>54</v>
      </c>
      <c r="E27" s="49" t="s">
        <v>55</v>
      </c>
    </row>
    <row r="28" ht="25" spans="1:5">
      <c r="A28" s="49" t="s">
        <v>20</v>
      </c>
      <c r="B28" s="49" t="s">
        <v>56</v>
      </c>
      <c r="C28" s="49" t="s">
        <v>57</v>
      </c>
      <c r="D28" s="51" t="s">
        <v>54</v>
      </c>
      <c r="E28" s="49" t="s">
        <v>58</v>
      </c>
    </row>
    <row r="29" spans="1:5">
      <c r="A29" s="49" t="s">
        <v>20</v>
      </c>
      <c r="B29" s="49" t="s">
        <v>59</v>
      </c>
      <c r="C29" s="49" t="s">
        <v>60</v>
      </c>
      <c r="D29" s="51" t="s">
        <v>54</v>
      </c>
      <c r="E29" s="49" t="s">
        <v>61</v>
      </c>
    </row>
    <row r="30" spans="1:5">
      <c r="A30" s="49" t="s">
        <v>20</v>
      </c>
      <c r="B30" s="49" t="s">
        <v>62</v>
      </c>
      <c r="C30" s="49" t="s">
        <v>63</v>
      </c>
      <c r="D30" s="51" t="s">
        <v>54</v>
      </c>
      <c r="E30" s="49" t="s">
        <v>64</v>
      </c>
    </row>
    <row r="31" ht="25" spans="1:5">
      <c r="A31" s="49" t="s">
        <v>20</v>
      </c>
      <c r="B31" s="49" t="s">
        <v>65</v>
      </c>
      <c r="C31" s="49" t="s">
        <v>66</v>
      </c>
      <c r="D31" s="51" t="s">
        <v>54</v>
      </c>
      <c r="E31" s="49" t="s">
        <v>67</v>
      </c>
    </row>
    <row r="32" spans="1:5">
      <c r="A32" s="49" t="s">
        <v>20</v>
      </c>
      <c r="B32" s="49" t="s">
        <v>68</v>
      </c>
      <c r="C32" s="49" t="s">
        <v>69</v>
      </c>
      <c r="D32" s="51" t="s">
        <v>54</v>
      </c>
      <c r="E32" s="49" t="s">
        <v>70</v>
      </c>
    </row>
    <row r="33" spans="1:5">
      <c r="A33" s="49" t="s">
        <v>20</v>
      </c>
      <c r="B33" s="49" t="s">
        <v>71</v>
      </c>
      <c r="C33" s="49" t="s">
        <v>72</v>
      </c>
      <c r="D33" s="51" t="s">
        <v>54</v>
      </c>
      <c r="E33" s="49" t="s">
        <v>73</v>
      </c>
    </row>
    <row r="34" spans="1:5">
      <c r="A34" s="49" t="s">
        <v>20</v>
      </c>
      <c r="B34" s="49" t="s">
        <v>74</v>
      </c>
      <c r="C34" s="49" t="s">
        <v>75</v>
      </c>
      <c r="D34" s="51" t="s">
        <v>54</v>
      </c>
      <c r="E34" s="49" t="s">
        <v>76</v>
      </c>
    </row>
    <row r="35" spans="1:5">
      <c r="A35" s="49" t="s">
        <v>20</v>
      </c>
      <c r="B35" s="49" t="s">
        <v>77</v>
      </c>
      <c r="C35" s="49" t="s">
        <v>78</v>
      </c>
      <c r="D35" s="51" t="s">
        <v>54</v>
      </c>
      <c r="E35" s="49" t="s">
        <v>79</v>
      </c>
    </row>
    <row r="36" spans="1:5">
      <c r="A36" s="49" t="s">
        <v>20</v>
      </c>
      <c r="B36" s="49" t="s">
        <v>80</v>
      </c>
      <c r="C36" s="49" t="s">
        <v>81</v>
      </c>
      <c r="D36" s="51" t="s">
        <v>54</v>
      </c>
      <c r="E36" s="49" t="s">
        <v>82</v>
      </c>
    </row>
    <row r="37" spans="1:5">
      <c r="A37" s="49" t="s">
        <v>20</v>
      </c>
      <c r="B37" s="49" t="s">
        <v>83</v>
      </c>
      <c r="C37" s="49" t="s">
        <v>84</v>
      </c>
      <c r="D37" s="51" t="s">
        <v>54</v>
      </c>
      <c r="E37" s="49" t="s">
        <v>85</v>
      </c>
    </row>
    <row r="38" spans="1:5">
      <c r="A38" s="49" t="s">
        <v>20</v>
      </c>
      <c r="B38" s="49" t="s">
        <v>86</v>
      </c>
      <c r="C38" s="49" t="s">
        <v>87</v>
      </c>
      <c r="D38" s="51" t="s">
        <v>54</v>
      </c>
      <c r="E38" s="49" t="s">
        <v>88</v>
      </c>
    </row>
    <row r="39" spans="1:5">
      <c r="A39" s="49" t="s">
        <v>20</v>
      </c>
      <c r="B39" s="49" t="s">
        <v>89</v>
      </c>
      <c r="C39" s="49" t="s">
        <v>90</v>
      </c>
      <c r="D39" s="51" t="s">
        <v>54</v>
      </c>
      <c r="E39" s="49" t="s">
        <v>91</v>
      </c>
    </row>
    <row r="40" spans="1:5">
      <c r="A40" s="49" t="s">
        <v>20</v>
      </c>
      <c r="B40" s="49" t="s">
        <v>92</v>
      </c>
      <c r="C40" s="49" t="s">
        <v>93</v>
      </c>
      <c r="D40" s="51" t="s">
        <v>54</v>
      </c>
      <c r="E40" s="49" t="s">
        <v>94</v>
      </c>
    </row>
    <row r="41" spans="1:5">
      <c r="A41" s="49" t="s">
        <v>20</v>
      </c>
      <c r="B41" s="49" t="s">
        <v>95</v>
      </c>
      <c r="C41" s="49" t="s">
        <v>96</v>
      </c>
      <c r="D41" s="51" t="s">
        <v>54</v>
      </c>
      <c r="E41" s="49" t="s">
        <v>97</v>
      </c>
    </row>
    <row r="42" ht="25" spans="1:5">
      <c r="A42" s="49" t="s">
        <v>98</v>
      </c>
      <c r="B42" s="49" t="s">
        <v>99</v>
      </c>
      <c r="C42" s="49" t="s">
        <v>100</v>
      </c>
      <c r="D42" s="50" t="s">
        <v>23</v>
      </c>
      <c r="E42" s="49" t="s">
        <v>101</v>
      </c>
    </row>
    <row r="43" spans="1:5">
      <c r="A43" s="49" t="s">
        <v>98</v>
      </c>
      <c r="B43" s="49" t="s">
        <v>102</v>
      </c>
      <c r="C43" s="49" t="s">
        <v>103</v>
      </c>
      <c r="D43" s="50" t="s">
        <v>23</v>
      </c>
      <c r="E43" s="49" t="s">
        <v>104</v>
      </c>
    </row>
    <row r="44" spans="1:5">
      <c r="A44" s="49" t="s">
        <v>98</v>
      </c>
      <c r="B44" s="49" t="s">
        <v>105</v>
      </c>
      <c r="C44" s="49" t="s">
        <v>106</v>
      </c>
      <c r="D44" s="50" t="s">
        <v>23</v>
      </c>
      <c r="E44" s="49" t="s">
        <v>107</v>
      </c>
    </row>
    <row r="45" spans="1:5">
      <c r="A45" s="49" t="s">
        <v>98</v>
      </c>
      <c r="B45" s="49" t="s">
        <v>108</v>
      </c>
      <c r="C45" s="49" t="s">
        <v>109</v>
      </c>
      <c r="D45" s="51" t="s">
        <v>54</v>
      </c>
      <c r="E45" s="49" t="s">
        <v>110</v>
      </c>
    </row>
    <row r="46" spans="1:5">
      <c r="A46" s="49" t="s">
        <v>98</v>
      </c>
      <c r="B46" s="49" t="s">
        <v>74</v>
      </c>
      <c r="C46" s="49" t="s">
        <v>111</v>
      </c>
      <c r="D46" s="51" t="s">
        <v>54</v>
      </c>
      <c r="E46" s="49" t="s">
        <v>112</v>
      </c>
    </row>
    <row r="47" spans="1:5">
      <c r="A47" s="49" t="s">
        <v>98</v>
      </c>
      <c r="B47" s="49" t="s">
        <v>56</v>
      </c>
      <c r="C47" s="49" t="s">
        <v>113</v>
      </c>
      <c r="D47" s="51" t="s">
        <v>54</v>
      </c>
      <c r="E47" s="49" t="s">
        <v>114</v>
      </c>
    </row>
    <row r="48" spans="1:5">
      <c r="A48" s="49" t="s">
        <v>98</v>
      </c>
      <c r="B48" s="49" t="s">
        <v>68</v>
      </c>
      <c r="C48" s="49" t="s">
        <v>115</v>
      </c>
      <c r="D48" s="51" t="s">
        <v>54</v>
      </c>
      <c r="E48" s="49" t="s">
        <v>116</v>
      </c>
    </row>
    <row r="49" spans="1:5">
      <c r="A49" s="49" t="s">
        <v>98</v>
      </c>
      <c r="B49" s="49" t="s">
        <v>71</v>
      </c>
      <c r="C49" s="49" t="s">
        <v>117</v>
      </c>
      <c r="D49" s="51" t="s">
        <v>54</v>
      </c>
      <c r="E49" s="49" t="s">
        <v>118</v>
      </c>
    </row>
    <row r="50" spans="1:5">
      <c r="A50" s="49" t="s">
        <v>98</v>
      </c>
      <c r="B50" s="49" t="s">
        <v>83</v>
      </c>
      <c r="C50" s="49" t="s">
        <v>119</v>
      </c>
      <c r="D50" s="51" t="s">
        <v>54</v>
      </c>
      <c r="E50" s="49" t="s">
        <v>120</v>
      </c>
    </row>
    <row r="51" spans="1:5">
      <c r="A51" s="49" t="s">
        <v>98</v>
      </c>
      <c r="B51" s="49" t="s">
        <v>86</v>
      </c>
      <c r="C51" s="49" t="s">
        <v>121</v>
      </c>
      <c r="D51" s="51" t="s">
        <v>54</v>
      </c>
      <c r="E51" s="49" t="s">
        <v>122</v>
      </c>
    </row>
    <row r="52" spans="1:5">
      <c r="A52" s="49" t="s">
        <v>123</v>
      </c>
      <c r="B52" s="49" t="s">
        <v>124</v>
      </c>
      <c r="C52" s="49" t="s">
        <v>125</v>
      </c>
      <c r="D52" s="50" t="s">
        <v>23</v>
      </c>
      <c r="E52" s="49" t="s">
        <v>126</v>
      </c>
    </row>
    <row r="53" spans="1:5">
      <c r="A53" s="49" t="s">
        <v>123</v>
      </c>
      <c r="B53" s="49" t="s">
        <v>34</v>
      </c>
      <c r="C53" s="49" t="s">
        <v>127</v>
      </c>
      <c r="D53" s="50" t="s">
        <v>23</v>
      </c>
      <c r="E53" s="49" t="s">
        <v>128</v>
      </c>
    </row>
    <row r="54" spans="1:5">
      <c r="A54" s="49" t="s">
        <v>123</v>
      </c>
      <c r="B54" s="49" t="s">
        <v>129</v>
      </c>
      <c r="C54" s="49" t="s">
        <v>130</v>
      </c>
      <c r="D54" s="50" t="s">
        <v>23</v>
      </c>
      <c r="E54" s="49" t="s">
        <v>131</v>
      </c>
    </row>
    <row r="55" spans="1:5">
      <c r="A55" s="49" t="s">
        <v>123</v>
      </c>
      <c r="B55" s="49" t="s">
        <v>31</v>
      </c>
      <c r="C55" s="49" t="s">
        <v>132</v>
      </c>
      <c r="D55" s="51" t="s">
        <v>54</v>
      </c>
      <c r="E55" s="49" t="s">
        <v>112</v>
      </c>
    </row>
    <row r="56" spans="1:5">
      <c r="A56" s="49" t="s">
        <v>123</v>
      </c>
      <c r="B56" s="49" t="s">
        <v>133</v>
      </c>
      <c r="C56" s="49" t="s">
        <v>134</v>
      </c>
      <c r="D56" s="51" t="s">
        <v>54</v>
      </c>
      <c r="E56" s="49" t="s">
        <v>135</v>
      </c>
    </row>
    <row r="57" spans="1:5">
      <c r="A57" s="49" t="s">
        <v>123</v>
      </c>
      <c r="B57" s="49" t="s">
        <v>136</v>
      </c>
      <c r="C57" s="49" t="s">
        <v>137</v>
      </c>
      <c r="D57" s="51" t="s">
        <v>54</v>
      </c>
      <c r="E57" s="49" t="s">
        <v>138</v>
      </c>
    </row>
    <row r="58" spans="1:5">
      <c r="A58" s="49" t="s">
        <v>123</v>
      </c>
      <c r="B58" s="49" t="s">
        <v>139</v>
      </c>
      <c r="C58" s="49" t="s">
        <v>140</v>
      </c>
      <c r="D58" s="51" t="s">
        <v>54</v>
      </c>
      <c r="E58" s="49" t="s">
        <v>141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8"/>
  <sheetViews>
    <sheetView workbookViewId="0">
      <pane xSplit="4" ySplit="14" topLeftCell="E15" activePane="bottomRight" state="frozen"/>
      <selection/>
      <selection pane="topRight"/>
      <selection pane="bottomLeft"/>
      <selection pane="bottomRight" activeCell="S17" sqref="S17"/>
    </sheetView>
  </sheetViews>
  <sheetFormatPr defaultColWidth="8.68181818181818" defaultRowHeight="14.5"/>
  <cols>
    <col min="1" max="1" width="18.2727272727273" customWidth="1"/>
    <col min="2" max="2" width="41.4545454545455" customWidth="1"/>
    <col min="3" max="3" width="33.6363636363636" customWidth="1"/>
    <col min="4" max="4" width="11" customWidth="1"/>
    <col min="5" max="5" width="35.4545454545455" customWidth="1"/>
    <col min="6" max="6" width="25.2727272727273" customWidth="1"/>
    <col min="7" max="7" width="11" customWidth="1"/>
    <col min="8" max="8" width="12" customWidth="1"/>
    <col min="9" max="9" width="8" customWidth="1"/>
    <col min="10" max="11" width="11" customWidth="1"/>
    <col min="12" max="12" width="10" customWidth="1"/>
    <col min="13" max="13" width="12" customWidth="1"/>
    <col min="14" max="14" width="10" customWidth="1"/>
    <col min="15" max="15" width="12" customWidth="1"/>
    <col min="16" max="16" width="11" customWidth="1"/>
    <col min="17" max="17" width="13" customWidth="1"/>
    <col min="18" max="18" width="16" customWidth="1"/>
    <col min="19" max="19" width="11" customWidth="1"/>
    <col min="20" max="20" width="10" customWidth="1"/>
    <col min="21" max="22" width="13" customWidth="1"/>
  </cols>
  <sheetData>
    <row r="1" ht="15.5" spans="1:22">
      <c r="A1" s="1" t="s">
        <v>142</v>
      </c>
    </row>
    <row r="2" spans="1:22">
      <c r="E2" s="24" t="s">
        <v>143</v>
      </c>
    </row>
    <row r="3" spans="1:22">
      <c r="A3" s="19" t="s">
        <v>144</v>
      </c>
      <c r="B3" s="25" t="s">
        <v>145</v>
      </c>
      <c r="E3" s="2" t="s">
        <v>26</v>
      </c>
      <c r="F3" s="26">
        <v>26500</v>
      </c>
      <c r="G3" s="27" t="s">
        <v>146</v>
      </c>
    </row>
    <row r="4" spans="1:22">
      <c r="A4" s="19" t="s">
        <v>147</v>
      </c>
      <c r="B4" s="25" t="s">
        <v>148</v>
      </c>
      <c r="E4" s="2" t="s">
        <v>29</v>
      </c>
      <c r="F4" s="26">
        <v>26445</v>
      </c>
      <c r="G4" s="27" t="s">
        <v>149</v>
      </c>
    </row>
    <row r="5" spans="1:22">
      <c r="A5" s="19" t="s">
        <v>150</v>
      </c>
      <c r="B5" s="25" t="s">
        <v>151</v>
      </c>
      <c r="E5" s="2" t="s">
        <v>32</v>
      </c>
      <c r="F5" s="28">
        <v>0.25</v>
      </c>
      <c r="G5" s="27" t="s">
        <v>152</v>
      </c>
    </row>
    <row r="6" spans="1:22">
      <c r="A6" s="19" t="s">
        <v>153</v>
      </c>
      <c r="B6" s="25" t="s">
        <v>154</v>
      </c>
      <c r="E6" s="2" t="s">
        <v>35</v>
      </c>
      <c r="F6" s="28">
        <v>0.03</v>
      </c>
      <c r="G6" s="27" t="s">
        <v>155</v>
      </c>
    </row>
    <row r="7" spans="1:22">
      <c r="A7" s="19" t="s">
        <v>156</v>
      </c>
      <c r="B7" s="25" t="s">
        <v>157</v>
      </c>
      <c r="E7" s="2" t="s">
        <v>38</v>
      </c>
      <c r="F7" s="28" t="s">
        <v>158</v>
      </c>
      <c r="G7" s="27" t="s">
        <v>159</v>
      </c>
    </row>
    <row r="8" spans="1:22">
      <c r="A8" s="19" t="s">
        <v>160</v>
      </c>
      <c r="B8" s="25" t="s">
        <v>161</v>
      </c>
      <c r="E8" s="2" t="s">
        <v>162</v>
      </c>
      <c r="F8" s="28">
        <v>0.5</v>
      </c>
      <c r="G8" s="27" t="s">
        <v>163</v>
      </c>
    </row>
    <row r="9" spans="1:22">
      <c r="A9" s="19" t="s">
        <v>164</v>
      </c>
      <c r="B9" s="25" t="s">
        <v>165</v>
      </c>
      <c r="E9" s="2" t="s">
        <v>166</v>
      </c>
      <c r="F9" s="28">
        <v>0.15</v>
      </c>
      <c r="G9" s="27" t="s">
        <v>167</v>
      </c>
    </row>
    <row r="10" spans="1:22">
      <c r="E10" s="2" t="s">
        <v>168</v>
      </c>
      <c r="F10" s="26">
        <v>15</v>
      </c>
      <c r="G10" s="27" t="s">
        <v>169</v>
      </c>
    </row>
    <row r="11" spans="1:22">
      <c r="A11" s="21" t="s">
        <v>170</v>
      </c>
      <c r="E11" s="2" t="s">
        <v>171</v>
      </c>
      <c r="F11" s="26">
        <v>360</v>
      </c>
      <c r="G11" s="27" t="s">
        <v>172</v>
      </c>
    </row>
    <row r="12" spans="1:22">
      <c r="E12" s="2" t="s">
        <v>44</v>
      </c>
      <c r="F12" s="26">
        <v>10000</v>
      </c>
      <c r="G12" s="27" t="s">
        <v>173</v>
      </c>
    </row>
    <row r="13" ht="15.5" spans="1:22">
      <c r="A13" s="29" t="s">
        <v>174</v>
      </c>
      <c r="B13" s="30"/>
      <c r="C13" s="30"/>
      <c r="D13" s="30"/>
      <c r="E13" s="31" t="s">
        <v>47</v>
      </c>
      <c r="F13" s="32">
        <v>0.4536</v>
      </c>
      <c r="G13" s="33" t="s">
        <v>175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ht="30" customHeight="1" spans="1:22">
      <c r="A14" s="3" t="s">
        <v>176</v>
      </c>
      <c r="B14" s="3" t="s">
        <v>177</v>
      </c>
      <c r="C14" s="3" t="s">
        <v>178</v>
      </c>
      <c r="D14" s="3" t="s">
        <v>179</v>
      </c>
      <c r="E14" s="3" t="s">
        <v>180</v>
      </c>
      <c r="F14" s="3" t="s">
        <v>181</v>
      </c>
      <c r="G14" s="3" t="s">
        <v>109</v>
      </c>
      <c r="H14" s="3" t="s">
        <v>182</v>
      </c>
      <c r="I14" s="3" t="s">
        <v>183</v>
      </c>
      <c r="J14" s="3" t="s">
        <v>57</v>
      </c>
      <c r="K14" s="3" t="s">
        <v>60</v>
      </c>
      <c r="L14" s="3" t="s">
        <v>63</v>
      </c>
      <c r="M14" s="3" t="s">
        <v>69</v>
      </c>
      <c r="N14" s="3" t="s">
        <v>72</v>
      </c>
      <c r="O14" s="3" t="s">
        <v>75</v>
      </c>
      <c r="P14" s="3" t="s">
        <v>66</v>
      </c>
      <c r="Q14" s="3" t="s">
        <v>78</v>
      </c>
      <c r="R14" s="3" t="s">
        <v>81</v>
      </c>
      <c r="S14" s="3" t="s">
        <v>84</v>
      </c>
      <c r="T14" s="3" t="s">
        <v>87</v>
      </c>
      <c r="U14" s="3" t="s">
        <v>184</v>
      </c>
      <c r="V14" s="3" t="s">
        <v>185</v>
      </c>
    </row>
    <row r="15" spans="1:22">
      <c r="A15" s="4">
        <v>1</v>
      </c>
      <c r="B15" s="4" t="s">
        <v>186</v>
      </c>
      <c r="C15" s="4" t="s">
        <v>187</v>
      </c>
      <c r="D15" s="4" t="s">
        <v>188</v>
      </c>
      <c r="E15" s="34">
        <v>320</v>
      </c>
      <c r="F15" s="13">
        <v>121.6</v>
      </c>
      <c r="G15" s="35">
        <f t="shared" ref="G15:G30" si="0">IF($E15=0,0,$F15/$E15*$F$13)</f>
        <v>0.172368</v>
      </c>
      <c r="H15" s="36">
        <v>4.37</v>
      </c>
      <c r="I15" s="22">
        <v>0</v>
      </c>
      <c r="J15" s="37">
        <f>$H15*$F$8*($F$9*$F$10/$F$11)+IF($H$31=0,0,'Bank Fee'!$H$8*$H15/$H$31)</f>
        <v>0.0249944126468513</v>
      </c>
      <c r="K15" s="37">
        <f>IF($G$31=0,0,(Logistic!$M$5+Logistic!$R$5)*$G15/$G$31)</f>
        <v>0.671227452705675</v>
      </c>
      <c r="L15" s="35">
        <f t="shared" ref="L15:L30" si="1">($H15+$K15)*$I15</f>
        <v>0</v>
      </c>
      <c r="M15" s="35" t="e">
        <f t="shared" ref="M15:M30" si="2">$F$6*$P15</f>
        <v>#VALUE!</v>
      </c>
      <c r="N15" s="35" t="e">
        <f t="shared" ref="N15:N30" si="3">$F$7*$M15</f>
        <v>#VALUE!</v>
      </c>
      <c r="O15" s="35" t="e">
        <f t="shared" ref="O15:O30" si="4">$H15+$J15+$K15+$L15+$M15+$N15</f>
        <v>#VALUE!</v>
      </c>
      <c r="P15" s="9" t="e">
        <f t="shared" ref="P15:P30" si="5">ROUNDUP(($H15+$J15+$K15+$L15)/(1-$F$5-$F$6*(1+$F$7)),2)</f>
        <v>#VALUE!</v>
      </c>
      <c r="Q15" s="38" t="e">
        <f t="shared" ref="Q15:Q30" si="6">ROUNDUP($P15*$F$3/$F$12,0)*$F$12</f>
        <v>#VALUE!</v>
      </c>
      <c r="R15" s="38" t="e">
        <f t="shared" ref="R15:R30" si="7">$E15*$Q15</f>
        <v>#VALUE!</v>
      </c>
      <c r="S15" s="35" t="e">
        <f t="shared" ref="S15:S30" si="8">$P15-$O15</f>
        <v>#VALUE!</v>
      </c>
      <c r="T15" s="39" t="e">
        <f t="shared" ref="T15:T30" si="9">IF($P15=0,0,$S15/$P15)</f>
        <v>#VALUE!</v>
      </c>
      <c r="U15" s="35" t="e">
        <f t="shared" ref="U15:U30" si="10">$E15*$S15</f>
        <v>#VALUE!</v>
      </c>
      <c r="V15" s="35" t="e">
        <f t="shared" ref="V15:V30" si="11">$E15*$O15</f>
        <v>#VALUE!</v>
      </c>
    </row>
    <row r="16" spans="1:22">
      <c r="A16" s="4">
        <v>2</v>
      </c>
      <c r="B16" s="4" t="s">
        <v>189</v>
      </c>
      <c r="C16" s="4" t="s">
        <v>190</v>
      </c>
      <c r="D16" s="4" t="s">
        <v>188</v>
      </c>
      <c r="E16" s="34">
        <v>160</v>
      </c>
      <c r="F16" s="13">
        <v>67.2</v>
      </c>
      <c r="G16" s="35">
        <f t="shared" si="0"/>
        <v>0.190512</v>
      </c>
      <c r="H16" s="36">
        <v>4.68</v>
      </c>
      <c r="I16" s="22">
        <v>0</v>
      </c>
      <c r="J16" s="37">
        <f>$H16*$F$8*($F$9*$F$10/$F$11)+IF($H$31=0,0,'Bank Fee'!$H$8*$H16/$H$31)</f>
        <v>0.0267674716675661</v>
      </c>
      <c r="K16" s="37">
        <f>IF($G$31=0,0,(Logistic!$M$5+Logistic!$R$5)*$G16/$G$31)</f>
        <v>0.741882974043115</v>
      </c>
      <c r="L16" s="35">
        <f t="shared" si="1"/>
        <v>0</v>
      </c>
      <c r="M16" s="35" t="e">
        <f t="shared" si="2"/>
        <v>#VALUE!</v>
      </c>
      <c r="N16" s="35" t="e">
        <f t="shared" si="3"/>
        <v>#VALUE!</v>
      </c>
      <c r="O16" s="35" t="e">
        <f t="shared" si="4"/>
        <v>#VALUE!</v>
      </c>
      <c r="P16" s="9" t="e">
        <f t="shared" si="5"/>
        <v>#VALUE!</v>
      </c>
      <c r="Q16" s="38" t="e">
        <f t="shared" si="6"/>
        <v>#VALUE!</v>
      </c>
      <c r="R16" s="38" t="e">
        <f t="shared" si="7"/>
        <v>#VALUE!</v>
      </c>
      <c r="S16" s="35" t="e">
        <f t="shared" si="8"/>
        <v>#VALUE!</v>
      </c>
      <c r="T16" s="39" t="e">
        <f t="shared" si="9"/>
        <v>#VALUE!</v>
      </c>
      <c r="U16" s="35" t="e">
        <f t="shared" si="10"/>
        <v>#VALUE!</v>
      </c>
      <c r="V16" s="35" t="e">
        <f t="shared" si="11"/>
        <v>#VALUE!</v>
      </c>
    </row>
    <row r="17" spans="1:22">
      <c r="A17" s="4">
        <v>3</v>
      </c>
      <c r="B17" s="4" t="s">
        <v>191</v>
      </c>
      <c r="C17" s="4" t="s">
        <v>192</v>
      </c>
      <c r="D17" s="4" t="s">
        <v>188</v>
      </c>
      <c r="E17" s="34">
        <v>320</v>
      </c>
      <c r="F17" s="13">
        <v>102.4</v>
      </c>
      <c r="G17" s="35">
        <f t="shared" si="0"/>
        <v>0.145152</v>
      </c>
      <c r="H17" s="36">
        <v>4.81</v>
      </c>
      <c r="I17" s="22">
        <v>0</v>
      </c>
      <c r="J17" s="37">
        <f>$H17*$F$8*($F$9*$F$10/$F$11)+IF($H$31=0,0,'Bank Fee'!$H$8*$H17/$H$31)</f>
        <v>0.0275110125472207</v>
      </c>
      <c r="K17" s="37">
        <f>IF($G$31=0,0,(Logistic!$M$5+Logistic!$R$5)*$G17/$G$31)</f>
        <v>0.565244170699516</v>
      </c>
      <c r="L17" s="35">
        <f t="shared" si="1"/>
        <v>0</v>
      </c>
      <c r="M17" s="35" t="e">
        <f t="shared" si="2"/>
        <v>#VALUE!</v>
      </c>
      <c r="N17" s="35" t="e">
        <f t="shared" si="3"/>
        <v>#VALUE!</v>
      </c>
      <c r="O17" s="35" t="e">
        <f t="shared" si="4"/>
        <v>#VALUE!</v>
      </c>
      <c r="P17" s="9" t="e">
        <f t="shared" si="5"/>
        <v>#VALUE!</v>
      </c>
      <c r="Q17" s="38" t="e">
        <f t="shared" si="6"/>
        <v>#VALUE!</v>
      </c>
      <c r="R17" s="38" t="e">
        <f t="shared" si="7"/>
        <v>#VALUE!</v>
      </c>
      <c r="S17" s="35" t="e">
        <f t="shared" si="8"/>
        <v>#VALUE!</v>
      </c>
      <c r="T17" s="39" t="e">
        <f t="shared" si="9"/>
        <v>#VALUE!</v>
      </c>
      <c r="U17" s="35" t="e">
        <f t="shared" si="10"/>
        <v>#VALUE!</v>
      </c>
      <c r="V17" s="35" t="e">
        <f t="shared" si="11"/>
        <v>#VALUE!</v>
      </c>
    </row>
    <row r="18" spans="1:22">
      <c r="A18" s="4">
        <v>4</v>
      </c>
      <c r="B18" s="4" t="s">
        <v>193</v>
      </c>
      <c r="C18" s="4" t="s">
        <v>194</v>
      </c>
      <c r="D18" s="4" t="s">
        <v>188</v>
      </c>
      <c r="E18" s="34">
        <v>160</v>
      </c>
      <c r="F18" s="13">
        <v>148</v>
      </c>
      <c r="G18" s="35">
        <f t="shared" si="0"/>
        <v>0.41958</v>
      </c>
      <c r="H18" s="36">
        <v>5.19</v>
      </c>
      <c r="I18" s="22">
        <v>0</v>
      </c>
      <c r="J18" s="37">
        <f>$H18*$F$8*($F$9*$F$10/$F$11)+IF($H$31=0,0,'Bank Fee'!$H$8*$H18/$H$31)</f>
        <v>0.0296844397339034</v>
      </c>
      <c r="K18" s="37">
        <f>IF($G$31=0,0,(Logistic!$M$5+Logistic!$R$5)*$G18/$G$31)</f>
        <v>1.63390893092829</v>
      </c>
      <c r="L18" s="35">
        <f t="shared" si="1"/>
        <v>0</v>
      </c>
      <c r="M18" s="35" t="e">
        <f t="shared" si="2"/>
        <v>#VALUE!</v>
      </c>
      <c r="N18" s="35" t="e">
        <f t="shared" si="3"/>
        <v>#VALUE!</v>
      </c>
      <c r="O18" s="35" t="e">
        <f t="shared" si="4"/>
        <v>#VALUE!</v>
      </c>
      <c r="P18" s="9" t="e">
        <f t="shared" si="5"/>
        <v>#VALUE!</v>
      </c>
      <c r="Q18" s="38" t="e">
        <f t="shared" si="6"/>
        <v>#VALUE!</v>
      </c>
      <c r="R18" s="38" t="e">
        <f t="shared" si="7"/>
        <v>#VALUE!</v>
      </c>
      <c r="S18" s="35" t="e">
        <f t="shared" si="8"/>
        <v>#VALUE!</v>
      </c>
      <c r="T18" s="39" t="e">
        <f t="shared" si="9"/>
        <v>#VALUE!</v>
      </c>
      <c r="U18" s="35" t="e">
        <f t="shared" si="10"/>
        <v>#VALUE!</v>
      </c>
      <c r="V18" s="35" t="e">
        <f t="shared" si="11"/>
        <v>#VALUE!</v>
      </c>
    </row>
    <row r="19" spans="1:22">
      <c r="A19" s="4">
        <v>5</v>
      </c>
      <c r="B19" s="4" t="s">
        <v>195</v>
      </c>
      <c r="C19" s="4" t="s">
        <v>196</v>
      </c>
      <c r="D19" s="4" t="s">
        <v>188</v>
      </c>
      <c r="E19" s="34">
        <v>400</v>
      </c>
      <c r="F19" s="13">
        <v>148</v>
      </c>
      <c r="G19" s="35">
        <f t="shared" si="0"/>
        <v>0.167832</v>
      </c>
      <c r="H19" s="36">
        <v>4.37</v>
      </c>
      <c r="I19" s="22">
        <v>0</v>
      </c>
      <c r="J19" s="37">
        <f>$H19*$F$8*($F$9*$F$10/$F$11)+IF($H$31=0,0,'Bank Fee'!$H$8*$H19/$H$31)</f>
        <v>0.0249944126468513</v>
      </c>
      <c r="K19" s="37">
        <f>IF($G$31=0,0,(Logistic!$M$5+Logistic!$R$5)*$G19/$G$31)</f>
        <v>0.653563572371316</v>
      </c>
      <c r="L19" s="35">
        <f t="shared" si="1"/>
        <v>0</v>
      </c>
      <c r="M19" s="35" t="e">
        <f t="shared" si="2"/>
        <v>#VALUE!</v>
      </c>
      <c r="N19" s="35" t="e">
        <f t="shared" si="3"/>
        <v>#VALUE!</v>
      </c>
      <c r="O19" s="35" t="e">
        <f t="shared" si="4"/>
        <v>#VALUE!</v>
      </c>
      <c r="P19" s="9" t="e">
        <f t="shared" si="5"/>
        <v>#VALUE!</v>
      </c>
      <c r="Q19" s="38" t="e">
        <f t="shared" si="6"/>
        <v>#VALUE!</v>
      </c>
      <c r="R19" s="38" t="e">
        <f t="shared" si="7"/>
        <v>#VALUE!</v>
      </c>
      <c r="S19" s="35" t="e">
        <f t="shared" si="8"/>
        <v>#VALUE!</v>
      </c>
      <c r="T19" s="39" t="e">
        <f t="shared" si="9"/>
        <v>#VALUE!</v>
      </c>
      <c r="U19" s="35" t="e">
        <f t="shared" si="10"/>
        <v>#VALUE!</v>
      </c>
      <c r="V19" s="35" t="e">
        <f t="shared" si="11"/>
        <v>#VALUE!</v>
      </c>
    </row>
    <row r="20" spans="1:22">
      <c r="A20" s="4">
        <v>6</v>
      </c>
      <c r="B20" s="4" t="s">
        <v>197</v>
      </c>
      <c r="C20" s="4" t="s">
        <v>198</v>
      </c>
      <c r="D20" s="4" t="s">
        <v>188</v>
      </c>
      <c r="E20" s="34">
        <v>200</v>
      </c>
      <c r="F20" s="13">
        <v>185</v>
      </c>
      <c r="G20" s="35">
        <f t="shared" si="0"/>
        <v>0.41958</v>
      </c>
      <c r="H20" s="36">
        <v>4.68</v>
      </c>
      <c r="I20" s="22">
        <v>0</v>
      </c>
      <c r="J20" s="37">
        <f>$H20*$F$8*($F$9*$F$10/$F$11)+IF($H$31=0,0,'Bank Fee'!$H$8*$H20/$H$31)</f>
        <v>0.0267674716675661</v>
      </c>
      <c r="K20" s="37">
        <f>IF($G$31=0,0,(Logistic!$M$5+Logistic!$R$5)*$G20/$G$31)</f>
        <v>1.63390893092829</v>
      </c>
      <c r="L20" s="35">
        <f t="shared" si="1"/>
        <v>0</v>
      </c>
      <c r="M20" s="35" t="e">
        <f t="shared" si="2"/>
        <v>#VALUE!</v>
      </c>
      <c r="N20" s="35" t="e">
        <f t="shared" si="3"/>
        <v>#VALUE!</v>
      </c>
      <c r="O20" s="35" t="e">
        <f t="shared" si="4"/>
        <v>#VALUE!</v>
      </c>
      <c r="P20" s="9" t="e">
        <f t="shared" si="5"/>
        <v>#VALUE!</v>
      </c>
      <c r="Q20" s="38" t="e">
        <f t="shared" si="6"/>
        <v>#VALUE!</v>
      </c>
      <c r="R20" s="38" t="e">
        <f t="shared" si="7"/>
        <v>#VALUE!</v>
      </c>
      <c r="S20" s="35" t="e">
        <f t="shared" si="8"/>
        <v>#VALUE!</v>
      </c>
      <c r="T20" s="39" t="e">
        <f t="shared" si="9"/>
        <v>#VALUE!</v>
      </c>
      <c r="U20" s="35" t="e">
        <f t="shared" si="10"/>
        <v>#VALUE!</v>
      </c>
      <c r="V20" s="35" t="e">
        <f t="shared" si="11"/>
        <v>#VALUE!</v>
      </c>
    </row>
    <row r="21" spans="1:22">
      <c r="A21" s="4">
        <v>7</v>
      </c>
      <c r="B21" s="4" t="s">
        <v>199</v>
      </c>
      <c r="C21" s="4" t="s">
        <v>200</v>
      </c>
      <c r="D21" s="4" t="s">
        <v>188</v>
      </c>
      <c r="E21" s="34">
        <v>400</v>
      </c>
      <c r="F21" s="13">
        <v>304</v>
      </c>
      <c r="G21" s="35">
        <f t="shared" si="0"/>
        <v>0.344736</v>
      </c>
      <c r="H21" s="36">
        <v>4.37</v>
      </c>
      <c r="I21" s="22">
        <v>0</v>
      </c>
      <c r="J21" s="37">
        <f>$H21*$F$8*($F$9*$F$10/$F$11)+IF($H$31=0,0,'Bank Fee'!$H$8*$H21/$H$31)</f>
        <v>0.0249944126468513</v>
      </c>
      <c r="K21" s="37">
        <f>IF($G$31=0,0,(Logistic!$M$5+Logistic!$R$5)*$G21/$G$31)</f>
        <v>1.34245490541135</v>
      </c>
      <c r="L21" s="35">
        <f t="shared" si="1"/>
        <v>0</v>
      </c>
      <c r="M21" s="35" t="e">
        <f t="shared" si="2"/>
        <v>#VALUE!</v>
      </c>
      <c r="N21" s="35" t="e">
        <f t="shared" si="3"/>
        <v>#VALUE!</v>
      </c>
      <c r="O21" s="35" t="e">
        <f t="shared" si="4"/>
        <v>#VALUE!</v>
      </c>
      <c r="P21" s="9" t="e">
        <f t="shared" si="5"/>
        <v>#VALUE!</v>
      </c>
      <c r="Q21" s="38" t="e">
        <f t="shared" si="6"/>
        <v>#VALUE!</v>
      </c>
      <c r="R21" s="38" t="e">
        <f t="shared" si="7"/>
        <v>#VALUE!</v>
      </c>
      <c r="S21" s="35" t="e">
        <f t="shared" si="8"/>
        <v>#VALUE!</v>
      </c>
      <c r="T21" s="39" t="e">
        <f t="shared" si="9"/>
        <v>#VALUE!</v>
      </c>
      <c r="U21" s="35" t="e">
        <f t="shared" si="10"/>
        <v>#VALUE!</v>
      </c>
      <c r="V21" s="35" t="e">
        <f t="shared" si="11"/>
        <v>#VALUE!</v>
      </c>
    </row>
    <row r="22" spans="1:22">
      <c r="A22" s="4">
        <v>8</v>
      </c>
      <c r="B22" s="4" t="s">
        <v>201</v>
      </c>
      <c r="C22" s="4" t="s">
        <v>202</v>
      </c>
      <c r="D22" s="4" t="s">
        <v>188</v>
      </c>
      <c r="E22" s="34">
        <v>200</v>
      </c>
      <c r="F22" s="13">
        <v>150</v>
      </c>
      <c r="G22" s="35">
        <f t="shared" si="0"/>
        <v>0.3402</v>
      </c>
      <c r="H22" s="36">
        <v>4.68</v>
      </c>
      <c r="I22" s="22">
        <v>0</v>
      </c>
      <c r="J22" s="37">
        <f>$H22*$F$8*($F$9*$F$10/$F$11)+IF($H$31=0,0,'Bank Fee'!$H$8*$H22/$H$31)</f>
        <v>0.0267674716675661</v>
      </c>
      <c r="K22" s="37">
        <f>IF($G$31=0,0,(Logistic!$M$5+Logistic!$R$5)*$G22/$G$31)</f>
        <v>1.32479102507699</v>
      </c>
      <c r="L22" s="35">
        <f t="shared" si="1"/>
        <v>0</v>
      </c>
      <c r="M22" s="35" t="e">
        <f t="shared" si="2"/>
        <v>#VALUE!</v>
      </c>
      <c r="N22" s="35" t="e">
        <f t="shared" si="3"/>
        <v>#VALUE!</v>
      </c>
      <c r="O22" s="35" t="e">
        <f t="shared" si="4"/>
        <v>#VALUE!</v>
      </c>
      <c r="P22" s="9" t="e">
        <f t="shared" si="5"/>
        <v>#VALUE!</v>
      </c>
      <c r="Q22" s="38" t="e">
        <f t="shared" si="6"/>
        <v>#VALUE!</v>
      </c>
      <c r="R22" s="38" t="e">
        <f t="shared" si="7"/>
        <v>#VALUE!</v>
      </c>
      <c r="S22" s="35" t="e">
        <f t="shared" si="8"/>
        <v>#VALUE!</v>
      </c>
      <c r="T22" s="39" t="e">
        <f t="shared" si="9"/>
        <v>#VALUE!</v>
      </c>
      <c r="U22" s="35" t="e">
        <f t="shared" si="10"/>
        <v>#VALUE!</v>
      </c>
      <c r="V22" s="35" t="e">
        <f t="shared" si="11"/>
        <v>#VALUE!</v>
      </c>
    </row>
    <row r="23" spans="1:22">
      <c r="A23" s="4">
        <v>9</v>
      </c>
      <c r="B23" s="4" t="s">
        <v>203</v>
      </c>
      <c r="C23" s="4" t="s">
        <v>204</v>
      </c>
      <c r="D23" s="4" t="s">
        <v>188</v>
      </c>
      <c r="E23" s="34">
        <v>400</v>
      </c>
      <c r="F23" s="13">
        <v>248</v>
      </c>
      <c r="G23" s="35">
        <f t="shared" si="0"/>
        <v>0.281232</v>
      </c>
      <c r="H23" s="36">
        <v>4.55</v>
      </c>
      <c r="I23" s="22">
        <v>0</v>
      </c>
      <c r="J23" s="37">
        <f>$H23*$F$8*($F$9*$F$10/$F$11)+IF($H$31=0,0,'Bank Fee'!$H$8*$H23/$H$31)</f>
        <v>0.0260239307879115</v>
      </c>
      <c r="K23" s="37">
        <f>IF($G$31=0,0,(Logistic!$M$5+Logistic!$R$5)*$G23/$G$31)</f>
        <v>1.09516058073031</v>
      </c>
      <c r="L23" s="35">
        <f t="shared" si="1"/>
        <v>0</v>
      </c>
      <c r="M23" s="35" t="e">
        <f t="shared" si="2"/>
        <v>#VALUE!</v>
      </c>
      <c r="N23" s="35" t="e">
        <f t="shared" si="3"/>
        <v>#VALUE!</v>
      </c>
      <c r="O23" s="35" t="e">
        <f t="shared" si="4"/>
        <v>#VALUE!</v>
      </c>
      <c r="P23" s="9" t="e">
        <f t="shared" si="5"/>
        <v>#VALUE!</v>
      </c>
      <c r="Q23" s="38" t="e">
        <f t="shared" si="6"/>
        <v>#VALUE!</v>
      </c>
      <c r="R23" s="38" t="e">
        <f t="shared" si="7"/>
        <v>#VALUE!</v>
      </c>
      <c r="S23" s="35" t="e">
        <f t="shared" si="8"/>
        <v>#VALUE!</v>
      </c>
      <c r="T23" s="39" t="e">
        <f t="shared" si="9"/>
        <v>#VALUE!</v>
      </c>
      <c r="U23" s="35" t="e">
        <f t="shared" si="10"/>
        <v>#VALUE!</v>
      </c>
      <c r="V23" s="35" t="e">
        <f t="shared" si="11"/>
        <v>#VALUE!</v>
      </c>
    </row>
    <row r="24" spans="1:22">
      <c r="A24" s="4">
        <v>10</v>
      </c>
      <c r="B24" s="4" t="s">
        <v>205</v>
      </c>
      <c r="C24" s="4" t="s">
        <v>206</v>
      </c>
      <c r="D24" s="4" t="s">
        <v>188</v>
      </c>
      <c r="E24" s="34">
        <v>200</v>
      </c>
      <c r="F24" s="13">
        <v>128</v>
      </c>
      <c r="G24" s="35">
        <f t="shared" si="0"/>
        <v>0.290304</v>
      </c>
      <c r="H24" s="36">
        <v>4.73</v>
      </c>
      <c r="I24" s="22">
        <v>0</v>
      </c>
      <c r="J24" s="37">
        <f>$H24*$F$8*($F$9*$F$10/$F$11)+IF($H$31=0,0,'Bank Fee'!$H$8*$H24/$H$31)</f>
        <v>0.0270534489289717</v>
      </c>
      <c r="K24" s="37">
        <f>IF($G$31=0,0,(Logistic!$M$5+Logistic!$R$5)*$G24/$G$31)</f>
        <v>1.13048834139903</v>
      </c>
      <c r="L24" s="35">
        <f t="shared" si="1"/>
        <v>0</v>
      </c>
      <c r="M24" s="35" t="e">
        <f t="shared" si="2"/>
        <v>#VALUE!</v>
      </c>
      <c r="N24" s="35" t="e">
        <f t="shared" si="3"/>
        <v>#VALUE!</v>
      </c>
      <c r="O24" s="35" t="e">
        <f t="shared" si="4"/>
        <v>#VALUE!</v>
      </c>
      <c r="P24" s="9" t="e">
        <f t="shared" si="5"/>
        <v>#VALUE!</v>
      </c>
      <c r="Q24" s="38" t="e">
        <f t="shared" si="6"/>
        <v>#VALUE!</v>
      </c>
      <c r="R24" s="38" t="e">
        <f t="shared" si="7"/>
        <v>#VALUE!</v>
      </c>
      <c r="S24" s="35" t="e">
        <f t="shared" si="8"/>
        <v>#VALUE!</v>
      </c>
      <c r="T24" s="39" t="e">
        <f t="shared" si="9"/>
        <v>#VALUE!</v>
      </c>
      <c r="U24" s="35" t="e">
        <f t="shared" si="10"/>
        <v>#VALUE!</v>
      </c>
      <c r="V24" s="35" t="e">
        <f t="shared" si="11"/>
        <v>#VALUE!</v>
      </c>
    </row>
    <row r="25" spans="1:22">
      <c r="A25" s="4">
        <v>11</v>
      </c>
      <c r="B25" s="4" t="s">
        <v>207</v>
      </c>
      <c r="C25" s="4" t="s">
        <v>208</v>
      </c>
      <c r="D25" s="4" t="s">
        <v>188</v>
      </c>
      <c r="E25" s="34">
        <v>400</v>
      </c>
      <c r="F25" s="13">
        <v>212</v>
      </c>
      <c r="G25" s="35">
        <f t="shared" si="0"/>
        <v>0.240408</v>
      </c>
      <c r="H25" s="36">
        <v>4.87</v>
      </c>
      <c r="I25" s="22">
        <v>0</v>
      </c>
      <c r="J25" s="37">
        <f>$H25*$F$8*($F$9*$F$10/$F$11)+IF($H$31=0,0,'Bank Fee'!$H$8*$H25/$H$31)</f>
        <v>0.0278541852609075</v>
      </c>
      <c r="K25" s="37">
        <f>IF($G$31=0,0,(Logistic!$M$5+Logistic!$R$5)*$G25/$G$31)</f>
        <v>0.936185657721074</v>
      </c>
      <c r="L25" s="35">
        <f t="shared" si="1"/>
        <v>0</v>
      </c>
      <c r="M25" s="35" t="e">
        <f t="shared" si="2"/>
        <v>#VALUE!</v>
      </c>
      <c r="N25" s="35" t="e">
        <f t="shared" si="3"/>
        <v>#VALUE!</v>
      </c>
      <c r="O25" s="35" t="e">
        <f t="shared" si="4"/>
        <v>#VALUE!</v>
      </c>
      <c r="P25" s="9" t="e">
        <f t="shared" si="5"/>
        <v>#VALUE!</v>
      </c>
      <c r="Q25" s="38" t="e">
        <f t="shared" si="6"/>
        <v>#VALUE!</v>
      </c>
      <c r="R25" s="38" t="e">
        <f t="shared" si="7"/>
        <v>#VALUE!</v>
      </c>
      <c r="S25" s="35" t="e">
        <f t="shared" si="8"/>
        <v>#VALUE!</v>
      </c>
      <c r="T25" s="39" t="e">
        <f t="shared" si="9"/>
        <v>#VALUE!</v>
      </c>
      <c r="U25" s="35" t="e">
        <f t="shared" si="10"/>
        <v>#VALUE!</v>
      </c>
      <c r="V25" s="35" t="e">
        <f t="shared" si="11"/>
        <v>#VALUE!</v>
      </c>
    </row>
    <row r="26" spans="1:22">
      <c r="A26" s="4">
        <v>12</v>
      </c>
      <c r="B26" s="4" t="s">
        <v>209</v>
      </c>
      <c r="C26" s="4" t="s">
        <v>210</v>
      </c>
      <c r="D26" s="4" t="s">
        <v>188</v>
      </c>
      <c r="E26" s="34">
        <v>200</v>
      </c>
      <c r="F26" s="13">
        <v>102</v>
      </c>
      <c r="G26" s="35">
        <f t="shared" si="0"/>
        <v>0.231336</v>
      </c>
      <c r="H26" s="36">
        <v>6.46</v>
      </c>
      <c r="I26" s="22">
        <v>0</v>
      </c>
      <c r="J26" s="37">
        <f>$H26*$F$8*($F$9*$F$10/$F$11)+IF($H$31=0,0,'Bank Fee'!$H$8*$H26/$H$31)</f>
        <v>0.0369482621736062</v>
      </c>
      <c r="K26" s="37">
        <f>IF($G$31=0,0,(Logistic!$M$5+Logistic!$R$5)*$G26/$G$31)</f>
        <v>0.900857897052354</v>
      </c>
      <c r="L26" s="35">
        <f t="shared" si="1"/>
        <v>0</v>
      </c>
      <c r="M26" s="35" t="e">
        <f t="shared" si="2"/>
        <v>#VALUE!</v>
      </c>
      <c r="N26" s="35" t="e">
        <f t="shared" si="3"/>
        <v>#VALUE!</v>
      </c>
      <c r="O26" s="35" t="e">
        <f t="shared" si="4"/>
        <v>#VALUE!</v>
      </c>
      <c r="P26" s="9" t="e">
        <f t="shared" si="5"/>
        <v>#VALUE!</v>
      </c>
      <c r="Q26" s="38" t="e">
        <f t="shared" si="6"/>
        <v>#VALUE!</v>
      </c>
      <c r="R26" s="38" t="e">
        <f t="shared" si="7"/>
        <v>#VALUE!</v>
      </c>
      <c r="S26" s="35" t="e">
        <f t="shared" si="8"/>
        <v>#VALUE!</v>
      </c>
      <c r="T26" s="39" t="e">
        <f t="shared" si="9"/>
        <v>#VALUE!</v>
      </c>
      <c r="U26" s="35" t="e">
        <f t="shared" si="10"/>
        <v>#VALUE!</v>
      </c>
      <c r="V26" s="35" t="e">
        <f t="shared" si="11"/>
        <v>#VALUE!</v>
      </c>
    </row>
    <row r="27" spans="1:22">
      <c r="A27" s="4">
        <v>13</v>
      </c>
      <c r="B27" s="4" t="s">
        <v>211</v>
      </c>
      <c r="C27" s="4" t="s">
        <v>212</v>
      </c>
      <c r="D27" s="4" t="s">
        <v>188</v>
      </c>
      <c r="E27" s="34">
        <v>240</v>
      </c>
      <c r="F27" s="13">
        <v>153.6</v>
      </c>
      <c r="G27" s="35">
        <f t="shared" si="0"/>
        <v>0.290304</v>
      </c>
      <c r="H27" s="36">
        <v>4.87</v>
      </c>
      <c r="I27" s="22">
        <v>0</v>
      </c>
      <c r="J27" s="37">
        <f>$H27*$F$8*($F$9*$F$10/$F$11)+IF($H$31=0,0,'Bank Fee'!$H$8*$H27/$H$31)</f>
        <v>0.0278541852609075</v>
      </c>
      <c r="K27" s="37">
        <f>IF($G$31=0,0,(Logistic!$M$5+Logistic!$R$5)*$G27/$G$31)</f>
        <v>1.13048834139903</v>
      </c>
      <c r="L27" s="35">
        <f t="shared" si="1"/>
        <v>0</v>
      </c>
      <c r="M27" s="35" t="e">
        <f t="shared" si="2"/>
        <v>#VALUE!</v>
      </c>
      <c r="N27" s="35" t="e">
        <f t="shared" si="3"/>
        <v>#VALUE!</v>
      </c>
      <c r="O27" s="35" t="e">
        <f t="shared" si="4"/>
        <v>#VALUE!</v>
      </c>
      <c r="P27" s="9" t="e">
        <f t="shared" si="5"/>
        <v>#VALUE!</v>
      </c>
      <c r="Q27" s="38" t="e">
        <f t="shared" si="6"/>
        <v>#VALUE!</v>
      </c>
      <c r="R27" s="38" t="e">
        <f t="shared" si="7"/>
        <v>#VALUE!</v>
      </c>
      <c r="S27" s="35" t="e">
        <f t="shared" si="8"/>
        <v>#VALUE!</v>
      </c>
      <c r="T27" s="39" t="e">
        <f t="shared" si="9"/>
        <v>#VALUE!</v>
      </c>
      <c r="U27" s="35" t="e">
        <f t="shared" si="10"/>
        <v>#VALUE!</v>
      </c>
      <c r="V27" s="35" t="e">
        <f t="shared" si="11"/>
        <v>#VALUE!</v>
      </c>
    </row>
    <row r="28" spans="1:22">
      <c r="A28" s="4">
        <v>14</v>
      </c>
      <c r="B28" s="4" t="s">
        <v>213</v>
      </c>
      <c r="C28" s="4" t="s">
        <v>214</v>
      </c>
      <c r="D28" s="4" t="s">
        <v>188</v>
      </c>
      <c r="E28" s="34">
        <v>120</v>
      </c>
      <c r="F28" s="13">
        <v>76.8</v>
      </c>
      <c r="G28" s="35">
        <f t="shared" si="0"/>
        <v>0.290304</v>
      </c>
      <c r="H28" s="36">
        <v>5.01</v>
      </c>
      <c r="I28" s="22">
        <v>0</v>
      </c>
      <c r="J28" s="37">
        <f>$H28*$F$8*($F$9*$F$10/$F$11)+IF($H$31=0,0,'Bank Fee'!$H$8*$H28/$H$31)</f>
        <v>0.0286549215928432</v>
      </c>
      <c r="K28" s="37">
        <f>IF($G$31=0,0,(Logistic!$M$5+Logistic!$R$5)*$G28/$G$31)</f>
        <v>1.13048834139903</v>
      </c>
      <c r="L28" s="35">
        <f t="shared" si="1"/>
        <v>0</v>
      </c>
      <c r="M28" s="35" t="e">
        <f t="shared" si="2"/>
        <v>#VALUE!</v>
      </c>
      <c r="N28" s="35" t="e">
        <f t="shared" si="3"/>
        <v>#VALUE!</v>
      </c>
      <c r="O28" s="35" t="e">
        <f t="shared" si="4"/>
        <v>#VALUE!</v>
      </c>
      <c r="P28" s="9" t="e">
        <f t="shared" si="5"/>
        <v>#VALUE!</v>
      </c>
      <c r="Q28" s="38" t="e">
        <f t="shared" si="6"/>
        <v>#VALUE!</v>
      </c>
      <c r="R28" s="38" t="e">
        <f t="shared" si="7"/>
        <v>#VALUE!</v>
      </c>
      <c r="S28" s="35" t="e">
        <f t="shared" si="8"/>
        <v>#VALUE!</v>
      </c>
      <c r="T28" s="39" t="e">
        <f t="shared" si="9"/>
        <v>#VALUE!</v>
      </c>
      <c r="U28" s="35" t="e">
        <f t="shared" si="10"/>
        <v>#VALUE!</v>
      </c>
      <c r="V28" s="35" t="e">
        <f t="shared" si="11"/>
        <v>#VALUE!</v>
      </c>
    </row>
    <row r="29" spans="1:22">
      <c r="A29" s="4">
        <v>15</v>
      </c>
      <c r="B29" s="4" t="s">
        <v>186</v>
      </c>
      <c r="C29" s="4" t="s">
        <v>187</v>
      </c>
      <c r="D29" s="4" t="s">
        <v>188</v>
      </c>
      <c r="E29" s="34">
        <v>240</v>
      </c>
      <c r="F29" s="13">
        <v>76</v>
      </c>
      <c r="G29" s="35">
        <f t="shared" si="0"/>
        <v>0.14364</v>
      </c>
      <c r="H29" s="36">
        <v>4.37</v>
      </c>
      <c r="I29" s="22">
        <v>0</v>
      </c>
      <c r="J29" s="37">
        <f>$H29*$F$8*($F$9*$F$10/$F$11)+IF($H$31=0,0,'Bank Fee'!$H$8*$H29/$H$31)</f>
        <v>0.0249944126468513</v>
      </c>
      <c r="K29" s="37">
        <f>IF($G$31=0,0,(Logistic!$M$5+Logistic!$R$5)*$G29/$G$31)</f>
        <v>0.559356210588063</v>
      </c>
      <c r="L29" s="35">
        <f t="shared" si="1"/>
        <v>0</v>
      </c>
      <c r="M29" s="35" t="e">
        <f t="shared" si="2"/>
        <v>#VALUE!</v>
      </c>
      <c r="N29" s="35" t="e">
        <f t="shared" si="3"/>
        <v>#VALUE!</v>
      </c>
      <c r="O29" s="35" t="e">
        <f t="shared" si="4"/>
        <v>#VALUE!</v>
      </c>
      <c r="P29" s="9" t="e">
        <f t="shared" si="5"/>
        <v>#VALUE!</v>
      </c>
      <c r="Q29" s="38" t="e">
        <f t="shared" si="6"/>
        <v>#VALUE!</v>
      </c>
      <c r="R29" s="38" t="e">
        <f t="shared" si="7"/>
        <v>#VALUE!</v>
      </c>
      <c r="S29" s="35" t="e">
        <f t="shared" si="8"/>
        <v>#VALUE!</v>
      </c>
      <c r="T29" s="39" t="e">
        <f t="shared" si="9"/>
        <v>#VALUE!</v>
      </c>
      <c r="U29" s="35" t="e">
        <f t="shared" si="10"/>
        <v>#VALUE!</v>
      </c>
      <c r="V29" s="35" t="e">
        <f t="shared" si="11"/>
        <v>#VALUE!</v>
      </c>
    </row>
    <row r="30" spans="1:22">
      <c r="A30" s="4">
        <v>16</v>
      </c>
      <c r="B30" s="4" t="s">
        <v>189</v>
      </c>
      <c r="C30" s="4" t="s">
        <v>190</v>
      </c>
      <c r="D30" s="4" t="s">
        <v>188</v>
      </c>
      <c r="E30" s="34">
        <v>120</v>
      </c>
      <c r="F30" s="13">
        <v>50.4</v>
      </c>
      <c r="G30" s="35">
        <f t="shared" si="0"/>
        <v>0.190512</v>
      </c>
      <c r="H30" s="36">
        <v>4.68</v>
      </c>
      <c r="I30" s="22">
        <v>0</v>
      </c>
      <c r="J30" s="37">
        <f>$H30*$F$8*($F$9*$F$10/$F$11)+IF($H$31=0,0,'Bank Fee'!$H$8*$H30/$H$31)</f>
        <v>0.0267674716675661</v>
      </c>
      <c r="K30" s="37">
        <f>IF($G$31=0,0,(Logistic!$M$5+Logistic!$R$5)*$G30/$G$31)</f>
        <v>0.741882974043115</v>
      </c>
      <c r="L30" s="35">
        <f t="shared" si="1"/>
        <v>0</v>
      </c>
      <c r="M30" s="35" t="e">
        <f t="shared" si="2"/>
        <v>#VALUE!</v>
      </c>
      <c r="N30" s="35" t="e">
        <f t="shared" si="3"/>
        <v>#VALUE!</v>
      </c>
      <c r="O30" s="35" t="e">
        <f t="shared" si="4"/>
        <v>#VALUE!</v>
      </c>
      <c r="P30" s="9" t="e">
        <f t="shared" si="5"/>
        <v>#VALUE!</v>
      </c>
      <c r="Q30" s="38" t="e">
        <f t="shared" si="6"/>
        <v>#VALUE!</v>
      </c>
      <c r="R30" s="38" t="e">
        <f t="shared" si="7"/>
        <v>#VALUE!</v>
      </c>
      <c r="S30" s="35" t="e">
        <f t="shared" si="8"/>
        <v>#VALUE!</v>
      </c>
      <c r="T30" s="39" t="e">
        <f t="shared" si="9"/>
        <v>#VALUE!</v>
      </c>
      <c r="U30" s="35" t="e">
        <f t="shared" si="10"/>
        <v>#VALUE!</v>
      </c>
      <c r="V30" s="35" t="e">
        <f t="shared" si="11"/>
        <v>#VALUE!</v>
      </c>
    </row>
    <row r="31" spans="1:22">
      <c r="A31" s="15" t="s">
        <v>215</v>
      </c>
      <c r="B31" s="14"/>
      <c r="C31" s="14"/>
      <c r="D31" s="14"/>
      <c r="E31" s="40">
        <f>SUM(E15:E30)</f>
        <v>4080</v>
      </c>
      <c r="F31" s="18">
        <f>SUM(F15:F30)</f>
        <v>2273</v>
      </c>
      <c r="G31" s="18">
        <f>SUMPRODUCT($E$15:$E$30,G15:G30)</f>
        <v>1031.0328</v>
      </c>
      <c r="H31" s="18">
        <f>SUMPRODUCT($E$15:$E$30,H15:H30)</f>
        <v>19271.2</v>
      </c>
      <c r="I31" s="14"/>
      <c r="J31" s="18">
        <f t="shared" ref="J31:P31" si="12">SUMPRODUCT($E$15:$E$30,J15:J30)</f>
        <v>110.2225</v>
      </c>
      <c r="K31" s="18">
        <f t="shared" si="12"/>
        <v>4015</v>
      </c>
      <c r="L31" s="18">
        <f t="shared" si="12"/>
        <v>0</v>
      </c>
      <c r="M31" s="18" t="e">
        <f t="shared" si="12"/>
        <v>#VALUE!</v>
      </c>
      <c r="N31" s="18" t="e">
        <f t="shared" si="12"/>
        <v>#VALUE!</v>
      </c>
      <c r="O31" s="18" t="e">
        <f t="shared" si="12"/>
        <v>#VALUE!</v>
      </c>
      <c r="P31" s="18" t="e">
        <f t="shared" si="12"/>
        <v>#VALUE!</v>
      </c>
      <c r="Q31" s="14"/>
      <c r="R31" s="40" t="e">
        <f>SUM(R15:R30)</f>
        <v>#VALUE!</v>
      </c>
      <c r="S31" s="14"/>
      <c r="T31" s="41" t="e">
        <f>IF(P31=0,0,U31/P31)</f>
        <v>#VALUE!</v>
      </c>
      <c r="U31" s="18" t="e">
        <f>SUM(U15:U30)</f>
        <v>#VALUE!</v>
      </c>
      <c r="V31" s="18" t="e">
        <f>SUM(V15:V30)</f>
        <v>#VALUE!</v>
      </c>
    </row>
    <row r="34" ht="15.5" spans="1:22">
      <c r="A34" s="29" t="s">
        <v>216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</row>
    <row r="35" ht="30" customHeight="1" spans="1:22">
      <c r="A35" s="3" t="s">
        <v>176</v>
      </c>
      <c r="B35" s="3" t="s">
        <v>177</v>
      </c>
      <c r="C35" s="3" t="s">
        <v>178</v>
      </c>
      <c r="D35" s="3" t="s">
        <v>179</v>
      </c>
      <c r="E35" s="3" t="s">
        <v>180</v>
      </c>
      <c r="F35" s="3" t="s">
        <v>181</v>
      </c>
      <c r="G35" s="3" t="s">
        <v>109</v>
      </c>
      <c r="H35" s="3" t="s">
        <v>182</v>
      </c>
      <c r="I35" s="3" t="s">
        <v>183</v>
      </c>
      <c r="J35" s="3" t="s">
        <v>57</v>
      </c>
      <c r="K35" s="3" t="s">
        <v>60</v>
      </c>
      <c r="L35" s="3" t="s">
        <v>63</v>
      </c>
      <c r="M35" s="3" t="s">
        <v>69</v>
      </c>
      <c r="N35" s="3" t="s">
        <v>72</v>
      </c>
      <c r="O35" s="3" t="s">
        <v>75</v>
      </c>
      <c r="P35" s="3" t="s">
        <v>66</v>
      </c>
      <c r="Q35" s="3" t="s">
        <v>78</v>
      </c>
      <c r="R35" s="3" t="s">
        <v>81</v>
      </c>
      <c r="S35" s="3" t="s">
        <v>84</v>
      </c>
      <c r="T35" s="3" t="s">
        <v>87</v>
      </c>
      <c r="U35" s="3" t="s">
        <v>184</v>
      </c>
      <c r="V35" s="3" t="s">
        <v>185</v>
      </c>
    </row>
    <row r="36" spans="1:22">
      <c r="A36" s="4">
        <v>1</v>
      </c>
      <c r="B36" s="4" t="s">
        <v>186</v>
      </c>
      <c r="C36" s="4" t="s">
        <v>187</v>
      </c>
      <c r="D36" s="4" t="s">
        <v>188</v>
      </c>
      <c r="E36" s="34">
        <v>320</v>
      </c>
      <c r="F36" s="13">
        <v>121.6</v>
      </c>
      <c r="G36" s="35">
        <f t="shared" ref="G36:G51" si="13">IF($E36=0,0,$F36/$E36*$F$13)</f>
        <v>0.172368</v>
      </c>
      <c r="H36" s="36">
        <v>4.37</v>
      </c>
      <c r="I36" s="22">
        <v>0</v>
      </c>
      <c r="J36" s="37">
        <f>$H36*$F$8*($F$9*$F$10/$F$11)+IF($H$52=0,0,'Bank Fee'!$H$8*$H36/$H$52)</f>
        <v>0.0249944126468513</v>
      </c>
      <c r="K36" s="37">
        <f>IF($G$52=0,0,(Logistic!$M$6+Logistic!$R$6)*$G36/$G$52)</f>
        <v>0.178046634403872</v>
      </c>
      <c r="L36" s="35">
        <f t="shared" ref="L36:L51" si="14">($H36+$K36)*$I36</f>
        <v>0</v>
      </c>
      <c r="M36" s="35" t="e">
        <f t="shared" ref="M36:M51" si="15">$F$6*$P36</f>
        <v>#VALUE!</v>
      </c>
      <c r="N36" s="35" t="e">
        <f t="shared" ref="N36:N51" si="16">$F$7*$M36</f>
        <v>#VALUE!</v>
      </c>
      <c r="O36" s="35" t="e">
        <f t="shared" ref="O36:O51" si="17">$H36+$J36+$K36+$L36+$M36+$N36</f>
        <v>#VALUE!</v>
      </c>
      <c r="P36" s="9" t="e">
        <f t="shared" ref="P36:P51" si="18">ROUNDUP(($H36+$J36+$K36+$L36)/(1-$F$5-$F$6*(1+$F$7)),2)</f>
        <v>#VALUE!</v>
      </c>
      <c r="Q36" s="38" t="e">
        <f t="shared" ref="Q36:Q51" si="19">ROUNDUP($P36*$F$3/$F$12,0)*$F$12</f>
        <v>#VALUE!</v>
      </c>
      <c r="R36" s="38" t="e">
        <f t="shared" ref="R36:R51" si="20">$E36*$Q36</f>
        <v>#VALUE!</v>
      </c>
      <c r="S36" s="35" t="e">
        <f t="shared" ref="S36:S51" si="21">$P36-$O36</f>
        <v>#VALUE!</v>
      </c>
      <c r="T36" s="39" t="e">
        <f t="shared" ref="T36:T51" si="22">IF($P36=0,0,$S36/$P36)</f>
        <v>#VALUE!</v>
      </c>
      <c r="U36" s="35" t="e">
        <f t="shared" ref="U36:U51" si="23">$E36*$S36</f>
        <v>#VALUE!</v>
      </c>
      <c r="V36" s="35" t="e">
        <f t="shared" ref="V36:V51" si="24">$E36*$O36</f>
        <v>#VALUE!</v>
      </c>
    </row>
    <row r="37" spans="1:22">
      <c r="A37" s="4">
        <v>2</v>
      </c>
      <c r="B37" s="4" t="s">
        <v>189</v>
      </c>
      <c r="C37" s="4" t="s">
        <v>190</v>
      </c>
      <c r="D37" s="4" t="s">
        <v>188</v>
      </c>
      <c r="E37" s="34">
        <v>160</v>
      </c>
      <c r="F37" s="13">
        <v>67.2</v>
      </c>
      <c r="G37" s="35">
        <f t="shared" si="13"/>
        <v>0.190512</v>
      </c>
      <c r="H37" s="36">
        <v>4.68</v>
      </c>
      <c r="I37" s="22">
        <v>0</v>
      </c>
      <c r="J37" s="37">
        <f>$H37*$F$8*($F$9*$F$10/$F$11)+IF($H$52=0,0,'Bank Fee'!$H$8*$H37/$H$52)</f>
        <v>0.0267674716675661</v>
      </c>
      <c r="K37" s="37">
        <f>IF($G$52=0,0,(Logistic!$M$6+Logistic!$R$6)*$G37/$G$52)</f>
        <v>0.196788385393753</v>
      </c>
      <c r="L37" s="35">
        <f t="shared" si="14"/>
        <v>0</v>
      </c>
      <c r="M37" s="35" t="e">
        <f t="shared" si="15"/>
        <v>#VALUE!</v>
      </c>
      <c r="N37" s="35" t="e">
        <f t="shared" si="16"/>
        <v>#VALUE!</v>
      </c>
      <c r="O37" s="35" t="e">
        <f t="shared" si="17"/>
        <v>#VALUE!</v>
      </c>
      <c r="P37" s="9" t="e">
        <f t="shared" si="18"/>
        <v>#VALUE!</v>
      </c>
      <c r="Q37" s="38" t="e">
        <f t="shared" si="19"/>
        <v>#VALUE!</v>
      </c>
      <c r="R37" s="38" t="e">
        <f t="shared" si="20"/>
        <v>#VALUE!</v>
      </c>
      <c r="S37" s="35" t="e">
        <f t="shared" si="21"/>
        <v>#VALUE!</v>
      </c>
      <c r="T37" s="39" t="e">
        <f t="shared" si="22"/>
        <v>#VALUE!</v>
      </c>
      <c r="U37" s="35" t="e">
        <f t="shared" si="23"/>
        <v>#VALUE!</v>
      </c>
      <c r="V37" s="35" t="e">
        <f t="shared" si="24"/>
        <v>#VALUE!</v>
      </c>
    </row>
    <row r="38" spans="1:22">
      <c r="A38" s="4">
        <v>3</v>
      </c>
      <c r="B38" s="4" t="s">
        <v>191</v>
      </c>
      <c r="C38" s="4" t="s">
        <v>192</v>
      </c>
      <c r="D38" s="4" t="s">
        <v>188</v>
      </c>
      <c r="E38" s="34">
        <v>320</v>
      </c>
      <c r="F38" s="13">
        <v>102.4</v>
      </c>
      <c r="G38" s="35">
        <f t="shared" si="13"/>
        <v>0.145152</v>
      </c>
      <c r="H38" s="36">
        <v>4.81</v>
      </c>
      <c r="I38" s="22">
        <v>0</v>
      </c>
      <c r="J38" s="37">
        <f>$H38*$F$8*($F$9*$F$10/$F$11)+IF($H$52=0,0,'Bank Fee'!$H$8*$H38/$H$52)</f>
        <v>0.0275110125472207</v>
      </c>
      <c r="K38" s="37">
        <f>IF($G$52=0,0,(Logistic!$M$6+Logistic!$R$6)*$G38/$G$52)</f>
        <v>0.14993400791905</v>
      </c>
      <c r="L38" s="35">
        <f t="shared" si="14"/>
        <v>0</v>
      </c>
      <c r="M38" s="35" t="e">
        <f t="shared" si="15"/>
        <v>#VALUE!</v>
      </c>
      <c r="N38" s="35" t="e">
        <f t="shared" si="16"/>
        <v>#VALUE!</v>
      </c>
      <c r="O38" s="35" t="e">
        <f t="shared" si="17"/>
        <v>#VALUE!</v>
      </c>
      <c r="P38" s="9" t="e">
        <f t="shared" si="18"/>
        <v>#VALUE!</v>
      </c>
      <c r="Q38" s="38" t="e">
        <f t="shared" si="19"/>
        <v>#VALUE!</v>
      </c>
      <c r="R38" s="38" t="e">
        <f t="shared" si="20"/>
        <v>#VALUE!</v>
      </c>
      <c r="S38" s="35" t="e">
        <f t="shared" si="21"/>
        <v>#VALUE!</v>
      </c>
      <c r="T38" s="39" t="e">
        <f t="shared" si="22"/>
        <v>#VALUE!</v>
      </c>
      <c r="U38" s="35" t="e">
        <f t="shared" si="23"/>
        <v>#VALUE!</v>
      </c>
      <c r="V38" s="35" t="e">
        <f t="shared" si="24"/>
        <v>#VALUE!</v>
      </c>
    </row>
    <row r="39" spans="1:22">
      <c r="A39" s="4">
        <v>4</v>
      </c>
      <c r="B39" s="4" t="s">
        <v>193</v>
      </c>
      <c r="C39" s="4" t="s">
        <v>194</v>
      </c>
      <c r="D39" s="4" t="s">
        <v>188</v>
      </c>
      <c r="E39" s="34">
        <v>160</v>
      </c>
      <c r="F39" s="13">
        <v>148</v>
      </c>
      <c r="G39" s="35">
        <f t="shared" si="13"/>
        <v>0.41958</v>
      </c>
      <c r="H39" s="36">
        <v>5.19</v>
      </c>
      <c r="I39" s="22">
        <v>0</v>
      </c>
      <c r="J39" s="37">
        <f>$H39*$F$8*($F$9*$F$10/$F$11)+IF($H$52=0,0,'Bank Fee'!$H$8*$H39/$H$52)</f>
        <v>0.0296844397339034</v>
      </c>
      <c r="K39" s="37">
        <f>IF($G$52=0,0,(Logistic!$M$6+Logistic!$R$6)*$G39/$G$52)</f>
        <v>0.433402991641003</v>
      </c>
      <c r="L39" s="35">
        <f t="shared" si="14"/>
        <v>0</v>
      </c>
      <c r="M39" s="35" t="e">
        <f t="shared" si="15"/>
        <v>#VALUE!</v>
      </c>
      <c r="N39" s="35" t="e">
        <f t="shared" si="16"/>
        <v>#VALUE!</v>
      </c>
      <c r="O39" s="35" t="e">
        <f t="shared" si="17"/>
        <v>#VALUE!</v>
      </c>
      <c r="P39" s="9" t="e">
        <f t="shared" si="18"/>
        <v>#VALUE!</v>
      </c>
      <c r="Q39" s="38" t="e">
        <f t="shared" si="19"/>
        <v>#VALUE!</v>
      </c>
      <c r="R39" s="38" t="e">
        <f t="shared" si="20"/>
        <v>#VALUE!</v>
      </c>
      <c r="S39" s="35" t="e">
        <f t="shared" si="21"/>
        <v>#VALUE!</v>
      </c>
      <c r="T39" s="39" t="e">
        <f t="shared" si="22"/>
        <v>#VALUE!</v>
      </c>
      <c r="U39" s="35" t="e">
        <f t="shared" si="23"/>
        <v>#VALUE!</v>
      </c>
      <c r="V39" s="35" t="e">
        <f t="shared" si="24"/>
        <v>#VALUE!</v>
      </c>
    </row>
    <row r="40" spans="1:22">
      <c r="A40" s="4">
        <v>5</v>
      </c>
      <c r="B40" s="4" t="s">
        <v>195</v>
      </c>
      <c r="C40" s="4" t="s">
        <v>196</v>
      </c>
      <c r="D40" s="4" t="s">
        <v>188</v>
      </c>
      <c r="E40" s="34">
        <v>400</v>
      </c>
      <c r="F40" s="13">
        <v>148</v>
      </c>
      <c r="G40" s="35">
        <f t="shared" si="13"/>
        <v>0.167832</v>
      </c>
      <c r="H40" s="36">
        <v>4.37</v>
      </c>
      <c r="I40" s="22">
        <v>0</v>
      </c>
      <c r="J40" s="37">
        <f>$H40*$F$8*($F$9*$F$10/$F$11)+IF($H$52=0,0,'Bank Fee'!$H$8*$H40/$H$52)</f>
        <v>0.0249944126468513</v>
      </c>
      <c r="K40" s="37">
        <f>IF($G$52=0,0,(Logistic!$M$6+Logistic!$R$6)*$G40/$G$52)</f>
        <v>0.173361196656401</v>
      </c>
      <c r="L40" s="35">
        <f t="shared" si="14"/>
        <v>0</v>
      </c>
      <c r="M40" s="35" t="e">
        <f t="shared" si="15"/>
        <v>#VALUE!</v>
      </c>
      <c r="N40" s="35" t="e">
        <f t="shared" si="16"/>
        <v>#VALUE!</v>
      </c>
      <c r="O40" s="35" t="e">
        <f t="shared" si="17"/>
        <v>#VALUE!</v>
      </c>
      <c r="P40" s="9" t="e">
        <f t="shared" si="18"/>
        <v>#VALUE!</v>
      </c>
      <c r="Q40" s="38" t="e">
        <f t="shared" si="19"/>
        <v>#VALUE!</v>
      </c>
      <c r="R40" s="38" t="e">
        <f t="shared" si="20"/>
        <v>#VALUE!</v>
      </c>
      <c r="S40" s="35" t="e">
        <f t="shared" si="21"/>
        <v>#VALUE!</v>
      </c>
      <c r="T40" s="39" t="e">
        <f t="shared" si="22"/>
        <v>#VALUE!</v>
      </c>
      <c r="U40" s="35" t="e">
        <f t="shared" si="23"/>
        <v>#VALUE!</v>
      </c>
      <c r="V40" s="35" t="e">
        <f t="shared" si="24"/>
        <v>#VALUE!</v>
      </c>
    </row>
    <row r="41" spans="1:22">
      <c r="A41" s="4">
        <v>6</v>
      </c>
      <c r="B41" s="4" t="s">
        <v>197</v>
      </c>
      <c r="C41" s="4" t="s">
        <v>198</v>
      </c>
      <c r="D41" s="4" t="s">
        <v>188</v>
      </c>
      <c r="E41" s="34">
        <v>200</v>
      </c>
      <c r="F41" s="13">
        <v>185</v>
      </c>
      <c r="G41" s="35">
        <f t="shared" si="13"/>
        <v>0.41958</v>
      </c>
      <c r="H41" s="36">
        <v>4.68</v>
      </c>
      <c r="I41" s="22">
        <v>0</v>
      </c>
      <c r="J41" s="37">
        <f>$H41*$F$8*($F$9*$F$10/$F$11)+IF($H$52=0,0,'Bank Fee'!$H$8*$H41/$H$52)</f>
        <v>0.0267674716675661</v>
      </c>
      <c r="K41" s="37">
        <f>IF($G$52=0,0,(Logistic!$M$6+Logistic!$R$6)*$G41/$G$52)</f>
        <v>0.433402991641003</v>
      </c>
      <c r="L41" s="35">
        <f t="shared" si="14"/>
        <v>0</v>
      </c>
      <c r="M41" s="35" t="e">
        <f t="shared" si="15"/>
        <v>#VALUE!</v>
      </c>
      <c r="N41" s="35" t="e">
        <f t="shared" si="16"/>
        <v>#VALUE!</v>
      </c>
      <c r="O41" s="35" t="e">
        <f t="shared" si="17"/>
        <v>#VALUE!</v>
      </c>
      <c r="P41" s="9" t="e">
        <f t="shared" si="18"/>
        <v>#VALUE!</v>
      </c>
      <c r="Q41" s="38" t="e">
        <f t="shared" si="19"/>
        <v>#VALUE!</v>
      </c>
      <c r="R41" s="38" t="e">
        <f t="shared" si="20"/>
        <v>#VALUE!</v>
      </c>
      <c r="S41" s="35" t="e">
        <f t="shared" si="21"/>
        <v>#VALUE!</v>
      </c>
      <c r="T41" s="39" t="e">
        <f t="shared" si="22"/>
        <v>#VALUE!</v>
      </c>
      <c r="U41" s="35" t="e">
        <f t="shared" si="23"/>
        <v>#VALUE!</v>
      </c>
      <c r="V41" s="35" t="e">
        <f t="shared" si="24"/>
        <v>#VALUE!</v>
      </c>
    </row>
    <row r="42" spans="1:22">
      <c r="A42" s="4">
        <v>7</v>
      </c>
      <c r="B42" s="4" t="s">
        <v>199</v>
      </c>
      <c r="C42" s="4" t="s">
        <v>200</v>
      </c>
      <c r="D42" s="4" t="s">
        <v>188</v>
      </c>
      <c r="E42" s="34">
        <v>400</v>
      </c>
      <c r="F42" s="13">
        <v>304</v>
      </c>
      <c r="G42" s="35">
        <f t="shared" si="13"/>
        <v>0.344736</v>
      </c>
      <c r="H42" s="36">
        <v>4.37</v>
      </c>
      <c r="I42" s="22">
        <v>0</v>
      </c>
      <c r="J42" s="37">
        <f>$H42*$F$8*($F$9*$F$10/$F$11)+IF($H$52=0,0,'Bank Fee'!$H$8*$H42/$H$52)</f>
        <v>0.0249944126468513</v>
      </c>
      <c r="K42" s="37">
        <f>IF($G$52=0,0,(Logistic!$M$6+Logistic!$R$6)*$G42/$G$52)</f>
        <v>0.356093268807743</v>
      </c>
      <c r="L42" s="35">
        <f t="shared" si="14"/>
        <v>0</v>
      </c>
      <c r="M42" s="35" t="e">
        <f t="shared" si="15"/>
        <v>#VALUE!</v>
      </c>
      <c r="N42" s="35" t="e">
        <f t="shared" si="16"/>
        <v>#VALUE!</v>
      </c>
      <c r="O42" s="35" t="e">
        <f t="shared" si="17"/>
        <v>#VALUE!</v>
      </c>
      <c r="P42" s="9" t="e">
        <f t="shared" si="18"/>
        <v>#VALUE!</v>
      </c>
      <c r="Q42" s="38" t="e">
        <f t="shared" si="19"/>
        <v>#VALUE!</v>
      </c>
      <c r="R42" s="38" t="e">
        <f t="shared" si="20"/>
        <v>#VALUE!</v>
      </c>
      <c r="S42" s="35" t="e">
        <f t="shared" si="21"/>
        <v>#VALUE!</v>
      </c>
      <c r="T42" s="39" t="e">
        <f t="shared" si="22"/>
        <v>#VALUE!</v>
      </c>
      <c r="U42" s="35" t="e">
        <f t="shared" si="23"/>
        <v>#VALUE!</v>
      </c>
      <c r="V42" s="35" t="e">
        <f t="shared" si="24"/>
        <v>#VALUE!</v>
      </c>
    </row>
    <row r="43" spans="1:22">
      <c r="A43" s="4">
        <v>8</v>
      </c>
      <c r="B43" s="4" t="s">
        <v>201</v>
      </c>
      <c r="C43" s="4" t="s">
        <v>202</v>
      </c>
      <c r="D43" s="4" t="s">
        <v>188</v>
      </c>
      <c r="E43" s="34">
        <v>200</v>
      </c>
      <c r="F43" s="13">
        <v>150</v>
      </c>
      <c r="G43" s="35">
        <f t="shared" si="13"/>
        <v>0.3402</v>
      </c>
      <c r="H43" s="36">
        <v>4.68</v>
      </c>
      <c r="I43" s="22">
        <v>0</v>
      </c>
      <c r="J43" s="37">
        <f>$H43*$F$8*($F$9*$F$10/$F$11)+IF($H$52=0,0,'Bank Fee'!$H$8*$H43/$H$52)</f>
        <v>0.0267674716675661</v>
      </c>
      <c r="K43" s="37">
        <f>IF($G$52=0,0,(Logistic!$M$6+Logistic!$R$6)*$G43/$G$52)</f>
        <v>0.351407831060273</v>
      </c>
      <c r="L43" s="35">
        <f t="shared" si="14"/>
        <v>0</v>
      </c>
      <c r="M43" s="35" t="e">
        <f t="shared" si="15"/>
        <v>#VALUE!</v>
      </c>
      <c r="N43" s="35" t="e">
        <f t="shared" si="16"/>
        <v>#VALUE!</v>
      </c>
      <c r="O43" s="35" t="e">
        <f t="shared" si="17"/>
        <v>#VALUE!</v>
      </c>
      <c r="P43" s="9" t="e">
        <f t="shared" si="18"/>
        <v>#VALUE!</v>
      </c>
      <c r="Q43" s="38" t="e">
        <f t="shared" si="19"/>
        <v>#VALUE!</v>
      </c>
      <c r="R43" s="38" t="e">
        <f t="shared" si="20"/>
        <v>#VALUE!</v>
      </c>
      <c r="S43" s="35" t="e">
        <f t="shared" si="21"/>
        <v>#VALUE!</v>
      </c>
      <c r="T43" s="39" t="e">
        <f t="shared" si="22"/>
        <v>#VALUE!</v>
      </c>
      <c r="U43" s="35" t="e">
        <f t="shared" si="23"/>
        <v>#VALUE!</v>
      </c>
      <c r="V43" s="35" t="e">
        <f t="shared" si="24"/>
        <v>#VALUE!</v>
      </c>
    </row>
    <row r="44" spans="1:22">
      <c r="A44" s="4">
        <v>9</v>
      </c>
      <c r="B44" s="4" t="s">
        <v>203</v>
      </c>
      <c r="C44" s="4" t="s">
        <v>204</v>
      </c>
      <c r="D44" s="4" t="s">
        <v>188</v>
      </c>
      <c r="E44" s="34">
        <v>400</v>
      </c>
      <c r="F44" s="13">
        <v>248</v>
      </c>
      <c r="G44" s="35">
        <f t="shared" si="13"/>
        <v>0.281232</v>
      </c>
      <c r="H44" s="36">
        <v>4.55</v>
      </c>
      <c r="I44" s="22">
        <v>0</v>
      </c>
      <c r="J44" s="37">
        <f>$H44*$F$8*($F$9*$F$10/$F$11)+IF($H$52=0,0,'Bank Fee'!$H$8*$H44/$H$52)</f>
        <v>0.0260239307879115</v>
      </c>
      <c r="K44" s="37">
        <f>IF($G$52=0,0,(Logistic!$M$6+Logistic!$R$6)*$G44/$G$52)</f>
        <v>0.290497140343159</v>
      </c>
      <c r="L44" s="35">
        <f t="shared" si="14"/>
        <v>0</v>
      </c>
      <c r="M44" s="35" t="e">
        <f t="shared" si="15"/>
        <v>#VALUE!</v>
      </c>
      <c r="N44" s="35" t="e">
        <f t="shared" si="16"/>
        <v>#VALUE!</v>
      </c>
      <c r="O44" s="35" t="e">
        <f t="shared" si="17"/>
        <v>#VALUE!</v>
      </c>
      <c r="P44" s="9" t="e">
        <f t="shared" si="18"/>
        <v>#VALUE!</v>
      </c>
      <c r="Q44" s="38" t="e">
        <f t="shared" si="19"/>
        <v>#VALUE!</v>
      </c>
      <c r="R44" s="38" t="e">
        <f t="shared" si="20"/>
        <v>#VALUE!</v>
      </c>
      <c r="S44" s="35" t="e">
        <f t="shared" si="21"/>
        <v>#VALUE!</v>
      </c>
      <c r="T44" s="39" t="e">
        <f t="shared" si="22"/>
        <v>#VALUE!</v>
      </c>
      <c r="U44" s="35" t="e">
        <f t="shared" si="23"/>
        <v>#VALUE!</v>
      </c>
      <c r="V44" s="35" t="e">
        <f t="shared" si="24"/>
        <v>#VALUE!</v>
      </c>
    </row>
    <row r="45" spans="1:22">
      <c r="A45" s="4">
        <v>10</v>
      </c>
      <c r="B45" s="4" t="s">
        <v>205</v>
      </c>
      <c r="C45" s="4" t="s">
        <v>206</v>
      </c>
      <c r="D45" s="4" t="s">
        <v>188</v>
      </c>
      <c r="E45" s="34">
        <v>200</v>
      </c>
      <c r="F45" s="13">
        <v>128</v>
      </c>
      <c r="G45" s="35">
        <f t="shared" si="13"/>
        <v>0.290304</v>
      </c>
      <c r="H45" s="36">
        <v>4.73</v>
      </c>
      <c r="I45" s="22">
        <v>0</v>
      </c>
      <c r="J45" s="37">
        <f>$H45*$F$8*($F$9*$F$10/$F$11)+IF($H$52=0,0,'Bank Fee'!$H$8*$H45/$H$52)</f>
        <v>0.0270534489289717</v>
      </c>
      <c r="K45" s="37">
        <f>IF($G$52=0,0,(Logistic!$M$6+Logistic!$R$6)*$G45/$G$52)</f>
        <v>0.299868015838099</v>
      </c>
      <c r="L45" s="35">
        <f t="shared" si="14"/>
        <v>0</v>
      </c>
      <c r="M45" s="35" t="e">
        <f t="shared" si="15"/>
        <v>#VALUE!</v>
      </c>
      <c r="N45" s="35" t="e">
        <f t="shared" si="16"/>
        <v>#VALUE!</v>
      </c>
      <c r="O45" s="35" t="e">
        <f t="shared" si="17"/>
        <v>#VALUE!</v>
      </c>
      <c r="P45" s="9" t="e">
        <f t="shared" si="18"/>
        <v>#VALUE!</v>
      </c>
      <c r="Q45" s="38" t="e">
        <f t="shared" si="19"/>
        <v>#VALUE!</v>
      </c>
      <c r="R45" s="38" t="e">
        <f t="shared" si="20"/>
        <v>#VALUE!</v>
      </c>
      <c r="S45" s="35" t="e">
        <f t="shared" si="21"/>
        <v>#VALUE!</v>
      </c>
      <c r="T45" s="39" t="e">
        <f t="shared" si="22"/>
        <v>#VALUE!</v>
      </c>
      <c r="U45" s="35" t="e">
        <f t="shared" si="23"/>
        <v>#VALUE!</v>
      </c>
      <c r="V45" s="35" t="e">
        <f t="shared" si="24"/>
        <v>#VALUE!</v>
      </c>
    </row>
    <row r="46" spans="1:22">
      <c r="A46" s="4">
        <v>11</v>
      </c>
      <c r="B46" s="4" t="s">
        <v>207</v>
      </c>
      <c r="C46" s="4" t="s">
        <v>208</v>
      </c>
      <c r="D46" s="4" t="s">
        <v>188</v>
      </c>
      <c r="E46" s="34">
        <v>400</v>
      </c>
      <c r="F46" s="13">
        <v>212</v>
      </c>
      <c r="G46" s="35">
        <f t="shared" si="13"/>
        <v>0.240408</v>
      </c>
      <c r="H46" s="36">
        <v>4.87</v>
      </c>
      <c r="I46" s="22">
        <v>0</v>
      </c>
      <c r="J46" s="37">
        <f>$H46*$F$8*($F$9*$F$10/$F$11)+IF($H$52=0,0,'Bank Fee'!$H$8*$H46/$H$52)</f>
        <v>0.0278541852609075</v>
      </c>
      <c r="K46" s="37">
        <f>IF($G$52=0,0,(Logistic!$M$6+Logistic!$R$6)*$G46/$G$52)</f>
        <v>0.248328200615926</v>
      </c>
      <c r="L46" s="35">
        <f t="shared" si="14"/>
        <v>0</v>
      </c>
      <c r="M46" s="35" t="e">
        <f t="shared" si="15"/>
        <v>#VALUE!</v>
      </c>
      <c r="N46" s="35" t="e">
        <f t="shared" si="16"/>
        <v>#VALUE!</v>
      </c>
      <c r="O46" s="35" t="e">
        <f t="shared" si="17"/>
        <v>#VALUE!</v>
      </c>
      <c r="P46" s="9" t="e">
        <f t="shared" si="18"/>
        <v>#VALUE!</v>
      </c>
      <c r="Q46" s="38" t="e">
        <f t="shared" si="19"/>
        <v>#VALUE!</v>
      </c>
      <c r="R46" s="38" t="e">
        <f t="shared" si="20"/>
        <v>#VALUE!</v>
      </c>
      <c r="S46" s="35" t="e">
        <f t="shared" si="21"/>
        <v>#VALUE!</v>
      </c>
      <c r="T46" s="39" t="e">
        <f t="shared" si="22"/>
        <v>#VALUE!</v>
      </c>
      <c r="U46" s="35" t="e">
        <f t="shared" si="23"/>
        <v>#VALUE!</v>
      </c>
      <c r="V46" s="35" t="e">
        <f t="shared" si="24"/>
        <v>#VALUE!</v>
      </c>
    </row>
    <row r="47" spans="1:22">
      <c r="A47" s="4">
        <v>12</v>
      </c>
      <c r="B47" s="4" t="s">
        <v>209</v>
      </c>
      <c r="C47" s="4" t="s">
        <v>210</v>
      </c>
      <c r="D47" s="4" t="s">
        <v>188</v>
      </c>
      <c r="E47" s="34">
        <v>200</v>
      </c>
      <c r="F47" s="13">
        <v>102</v>
      </c>
      <c r="G47" s="35">
        <f t="shared" si="13"/>
        <v>0.231336</v>
      </c>
      <c r="H47" s="36">
        <v>6.46</v>
      </c>
      <c r="I47" s="22">
        <v>0</v>
      </c>
      <c r="J47" s="37">
        <f>$H47*$F$8*($F$9*$F$10/$F$11)+IF($H$52=0,0,'Bank Fee'!$H$8*$H47/$H$52)</f>
        <v>0.0369482621736062</v>
      </c>
      <c r="K47" s="37">
        <f>IF($G$52=0,0,(Logistic!$M$6+Logistic!$R$6)*$G47/$G$52)</f>
        <v>0.238957325120986</v>
      </c>
      <c r="L47" s="35">
        <f t="shared" si="14"/>
        <v>0</v>
      </c>
      <c r="M47" s="35" t="e">
        <f t="shared" si="15"/>
        <v>#VALUE!</v>
      </c>
      <c r="N47" s="35" t="e">
        <f t="shared" si="16"/>
        <v>#VALUE!</v>
      </c>
      <c r="O47" s="35" t="e">
        <f t="shared" si="17"/>
        <v>#VALUE!</v>
      </c>
      <c r="P47" s="9" t="e">
        <f t="shared" si="18"/>
        <v>#VALUE!</v>
      </c>
      <c r="Q47" s="38" t="e">
        <f t="shared" si="19"/>
        <v>#VALUE!</v>
      </c>
      <c r="R47" s="38" t="e">
        <f t="shared" si="20"/>
        <v>#VALUE!</v>
      </c>
      <c r="S47" s="35" t="e">
        <f t="shared" si="21"/>
        <v>#VALUE!</v>
      </c>
      <c r="T47" s="39" t="e">
        <f t="shared" si="22"/>
        <v>#VALUE!</v>
      </c>
      <c r="U47" s="35" t="e">
        <f t="shared" si="23"/>
        <v>#VALUE!</v>
      </c>
      <c r="V47" s="35" t="e">
        <f t="shared" si="24"/>
        <v>#VALUE!</v>
      </c>
    </row>
    <row r="48" spans="1:22">
      <c r="A48" s="4">
        <v>13</v>
      </c>
      <c r="B48" s="4" t="s">
        <v>211</v>
      </c>
      <c r="C48" s="4" t="s">
        <v>212</v>
      </c>
      <c r="D48" s="4" t="s">
        <v>188</v>
      </c>
      <c r="E48" s="34">
        <v>240</v>
      </c>
      <c r="F48" s="13">
        <v>153.6</v>
      </c>
      <c r="G48" s="35">
        <f t="shared" si="13"/>
        <v>0.290304</v>
      </c>
      <c r="H48" s="36">
        <v>4.87</v>
      </c>
      <c r="I48" s="22">
        <v>0</v>
      </c>
      <c r="J48" s="37">
        <f>$H48*$F$8*($F$9*$F$10/$F$11)+IF($H$52=0,0,'Bank Fee'!$H$8*$H48/$H$52)</f>
        <v>0.0278541852609075</v>
      </c>
      <c r="K48" s="37">
        <f>IF($G$52=0,0,(Logistic!$M$6+Logistic!$R$6)*$G48/$G$52)</f>
        <v>0.299868015838099</v>
      </c>
      <c r="L48" s="35">
        <f t="shared" si="14"/>
        <v>0</v>
      </c>
      <c r="M48" s="35" t="e">
        <f t="shared" si="15"/>
        <v>#VALUE!</v>
      </c>
      <c r="N48" s="35" t="e">
        <f t="shared" si="16"/>
        <v>#VALUE!</v>
      </c>
      <c r="O48" s="35" t="e">
        <f t="shared" si="17"/>
        <v>#VALUE!</v>
      </c>
      <c r="P48" s="9" t="e">
        <f t="shared" si="18"/>
        <v>#VALUE!</v>
      </c>
      <c r="Q48" s="38" t="e">
        <f t="shared" si="19"/>
        <v>#VALUE!</v>
      </c>
      <c r="R48" s="38" t="e">
        <f t="shared" si="20"/>
        <v>#VALUE!</v>
      </c>
      <c r="S48" s="35" t="e">
        <f t="shared" si="21"/>
        <v>#VALUE!</v>
      </c>
      <c r="T48" s="39" t="e">
        <f t="shared" si="22"/>
        <v>#VALUE!</v>
      </c>
      <c r="U48" s="35" t="e">
        <f t="shared" si="23"/>
        <v>#VALUE!</v>
      </c>
      <c r="V48" s="35" t="e">
        <f t="shared" si="24"/>
        <v>#VALUE!</v>
      </c>
    </row>
    <row r="49" spans="1:22">
      <c r="A49" s="4">
        <v>14</v>
      </c>
      <c r="B49" s="4" t="s">
        <v>213</v>
      </c>
      <c r="C49" s="4" t="s">
        <v>214</v>
      </c>
      <c r="D49" s="4" t="s">
        <v>188</v>
      </c>
      <c r="E49" s="34">
        <v>120</v>
      </c>
      <c r="F49" s="13">
        <v>76.8</v>
      </c>
      <c r="G49" s="35">
        <f t="shared" si="13"/>
        <v>0.290304</v>
      </c>
      <c r="H49" s="36">
        <v>5.01</v>
      </c>
      <c r="I49" s="22">
        <v>0</v>
      </c>
      <c r="J49" s="37">
        <f>$H49*$F$8*($F$9*$F$10/$F$11)+IF($H$52=0,0,'Bank Fee'!$H$8*$H49/$H$52)</f>
        <v>0.0286549215928432</v>
      </c>
      <c r="K49" s="37">
        <f>IF($G$52=0,0,(Logistic!$M$6+Logistic!$R$6)*$G49/$G$52)</f>
        <v>0.299868015838099</v>
      </c>
      <c r="L49" s="35">
        <f t="shared" si="14"/>
        <v>0</v>
      </c>
      <c r="M49" s="35" t="e">
        <f t="shared" si="15"/>
        <v>#VALUE!</v>
      </c>
      <c r="N49" s="35" t="e">
        <f t="shared" si="16"/>
        <v>#VALUE!</v>
      </c>
      <c r="O49" s="35" t="e">
        <f t="shared" si="17"/>
        <v>#VALUE!</v>
      </c>
      <c r="P49" s="9" t="e">
        <f t="shared" si="18"/>
        <v>#VALUE!</v>
      </c>
      <c r="Q49" s="38" t="e">
        <f t="shared" si="19"/>
        <v>#VALUE!</v>
      </c>
      <c r="R49" s="38" t="e">
        <f t="shared" si="20"/>
        <v>#VALUE!</v>
      </c>
      <c r="S49" s="35" t="e">
        <f t="shared" si="21"/>
        <v>#VALUE!</v>
      </c>
      <c r="T49" s="39" t="e">
        <f t="shared" si="22"/>
        <v>#VALUE!</v>
      </c>
      <c r="U49" s="35" t="e">
        <f t="shared" si="23"/>
        <v>#VALUE!</v>
      </c>
      <c r="V49" s="35" t="e">
        <f t="shared" si="24"/>
        <v>#VALUE!</v>
      </c>
    </row>
    <row r="50" spans="1:22">
      <c r="A50" s="4">
        <v>15</v>
      </c>
      <c r="B50" s="4" t="s">
        <v>186</v>
      </c>
      <c r="C50" s="4" t="s">
        <v>187</v>
      </c>
      <c r="D50" s="4" t="s">
        <v>188</v>
      </c>
      <c r="E50" s="34">
        <v>240</v>
      </c>
      <c r="F50" s="13">
        <v>76</v>
      </c>
      <c r="G50" s="35">
        <f t="shared" si="13"/>
        <v>0.14364</v>
      </c>
      <c r="H50" s="36">
        <v>4.37</v>
      </c>
      <c r="I50" s="22">
        <v>0</v>
      </c>
      <c r="J50" s="37">
        <f>$H50*$F$8*($F$9*$F$10/$F$11)+IF($H$52=0,0,'Bank Fee'!$H$8*$H50/$H$52)</f>
        <v>0.0249944126468513</v>
      </c>
      <c r="K50" s="37">
        <f>IF($G$52=0,0,(Logistic!$M$6+Logistic!$R$6)*$G50/$G$52)</f>
        <v>0.14837219533656</v>
      </c>
      <c r="L50" s="35">
        <f t="shared" si="14"/>
        <v>0</v>
      </c>
      <c r="M50" s="35" t="e">
        <f t="shared" si="15"/>
        <v>#VALUE!</v>
      </c>
      <c r="N50" s="35" t="e">
        <f t="shared" si="16"/>
        <v>#VALUE!</v>
      </c>
      <c r="O50" s="35" t="e">
        <f t="shared" si="17"/>
        <v>#VALUE!</v>
      </c>
      <c r="P50" s="9" t="e">
        <f t="shared" si="18"/>
        <v>#VALUE!</v>
      </c>
      <c r="Q50" s="38" t="e">
        <f t="shared" si="19"/>
        <v>#VALUE!</v>
      </c>
      <c r="R50" s="38" t="e">
        <f t="shared" si="20"/>
        <v>#VALUE!</v>
      </c>
      <c r="S50" s="35" t="e">
        <f t="shared" si="21"/>
        <v>#VALUE!</v>
      </c>
      <c r="T50" s="39" t="e">
        <f t="shared" si="22"/>
        <v>#VALUE!</v>
      </c>
      <c r="U50" s="35" t="e">
        <f t="shared" si="23"/>
        <v>#VALUE!</v>
      </c>
      <c r="V50" s="35" t="e">
        <f t="shared" si="24"/>
        <v>#VALUE!</v>
      </c>
    </row>
    <row r="51" spans="1:22">
      <c r="A51" s="4">
        <v>16</v>
      </c>
      <c r="B51" s="4" t="s">
        <v>189</v>
      </c>
      <c r="C51" s="4" t="s">
        <v>190</v>
      </c>
      <c r="D51" s="4" t="s">
        <v>188</v>
      </c>
      <c r="E51" s="34">
        <v>120</v>
      </c>
      <c r="F51" s="13">
        <v>50.4</v>
      </c>
      <c r="G51" s="35">
        <f t="shared" si="13"/>
        <v>0.190512</v>
      </c>
      <c r="H51" s="36">
        <v>4.68</v>
      </c>
      <c r="I51" s="22">
        <v>0</v>
      </c>
      <c r="J51" s="37">
        <f>$H51*$F$8*($F$9*$F$10/$F$11)+IF($H$52=0,0,'Bank Fee'!$H$8*$H51/$H$52)</f>
        <v>0.0267674716675661</v>
      </c>
      <c r="K51" s="37">
        <f>IF($G$52=0,0,(Logistic!$M$6+Logistic!$R$6)*$G51/$G$52)</f>
        <v>0.196788385393753</v>
      </c>
      <c r="L51" s="35">
        <f t="shared" si="14"/>
        <v>0</v>
      </c>
      <c r="M51" s="35" t="e">
        <f t="shared" si="15"/>
        <v>#VALUE!</v>
      </c>
      <c r="N51" s="35" t="e">
        <f t="shared" si="16"/>
        <v>#VALUE!</v>
      </c>
      <c r="O51" s="35" t="e">
        <f t="shared" si="17"/>
        <v>#VALUE!</v>
      </c>
      <c r="P51" s="9" t="e">
        <f t="shared" si="18"/>
        <v>#VALUE!</v>
      </c>
      <c r="Q51" s="38" t="e">
        <f t="shared" si="19"/>
        <v>#VALUE!</v>
      </c>
      <c r="R51" s="38" t="e">
        <f t="shared" si="20"/>
        <v>#VALUE!</v>
      </c>
      <c r="S51" s="35" t="e">
        <f t="shared" si="21"/>
        <v>#VALUE!</v>
      </c>
      <c r="T51" s="39" t="e">
        <f t="shared" si="22"/>
        <v>#VALUE!</v>
      </c>
      <c r="U51" s="35" t="e">
        <f t="shared" si="23"/>
        <v>#VALUE!</v>
      </c>
      <c r="V51" s="35" t="e">
        <f t="shared" si="24"/>
        <v>#VALUE!</v>
      </c>
    </row>
    <row r="52" spans="1:22">
      <c r="A52" s="15" t="s">
        <v>215</v>
      </c>
      <c r="B52" s="14"/>
      <c r="C52" s="14"/>
      <c r="D52" s="14"/>
      <c r="E52" s="40">
        <f>SUM(E36:E51)</f>
        <v>4080</v>
      </c>
      <c r="F52" s="18">
        <f>SUM(F36:F51)</f>
        <v>2273</v>
      </c>
      <c r="G52" s="18">
        <f>SUMPRODUCT($E$36:$E$51,G36:G51)</f>
        <v>1031.0328</v>
      </c>
      <c r="H52" s="18">
        <f>SUMPRODUCT($E$36:$E$51,H36:H51)</f>
        <v>19271.2</v>
      </c>
      <c r="I52" s="14"/>
      <c r="J52" s="18">
        <f t="shared" ref="J52:P52" si="25">SUMPRODUCT($E$36:$E$51,J36:J51)</f>
        <v>110.2225</v>
      </c>
      <c r="K52" s="18">
        <f t="shared" si="25"/>
        <v>1065</v>
      </c>
      <c r="L52" s="18">
        <f t="shared" si="25"/>
        <v>0</v>
      </c>
      <c r="M52" s="18" t="e">
        <f t="shared" si="25"/>
        <v>#VALUE!</v>
      </c>
      <c r="N52" s="18" t="e">
        <f t="shared" si="25"/>
        <v>#VALUE!</v>
      </c>
      <c r="O52" s="18" t="e">
        <f t="shared" si="25"/>
        <v>#VALUE!</v>
      </c>
      <c r="P52" s="18" t="e">
        <f t="shared" si="25"/>
        <v>#VALUE!</v>
      </c>
      <c r="Q52" s="14"/>
      <c r="R52" s="40" t="e">
        <f>SUM(R36:R51)</f>
        <v>#VALUE!</v>
      </c>
      <c r="S52" s="14"/>
      <c r="T52" s="41" t="e">
        <f>IF(P52=0,0,U52/P52)</f>
        <v>#VALUE!</v>
      </c>
      <c r="U52" s="18" t="e">
        <f>SUM(U36:U51)</f>
        <v>#VALUE!</v>
      </c>
      <c r="V52" s="18" t="e">
        <f>SUM(V36:V51)</f>
        <v>#VALUE!</v>
      </c>
    </row>
    <row r="55" ht="15.5" spans="1:22">
      <c r="A55" s="29" t="s">
        <v>217</v>
      </c>
      <c r="B55" s="30"/>
      <c r="C55" s="30"/>
      <c r="D55" s="30"/>
      <c r="E55" s="30"/>
    </row>
    <row r="56" spans="1:22">
      <c r="A56" s="42" t="s">
        <v>218</v>
      </c>
      <c r="D56" s="42" t="s">
        <v>219</v>
      </c>
      <c r="E56" s="42" t="s">
        <v>220</v>
      </c>
    </row>
    <row r="57" spans="1:22">
      <c r="A57" s="2" t="s">
        <v>81</v>
      </c>
      <c r="D57" s="38" t="e">
        <f>R31</f>
        <v>#VALUE!</v>
      </c>
      <c r="E57" s="38" t="e">
        <f>R52</f>
        <v>#VALUE!</v>
      </c>
    </row>
    <row r="58" spans="1:22">
      <c r="A58" s="2" t="s">
        <v>221</v>
      </c>
      <c r="D58" s="9" t="e">
        <f>R31/$F$3</f>
        <v>#VALUE!</v>
      </c>
      <c r="E58" s="9" t="e">
        <f>R52/$F$3</f>
        <v>#VALUE!</v>
      </c>
    </row>
    <row r="59" spans="1:22">
      <c r="A59" s="2" t="s">
        <v>222</v>
      </c>
      <c r="D59" s="9" t="e">
        <f>R31/$F$4</f>
        <v>#VALUE!</v>
      </c>
      <c r="E59" s="9" t="e">
        <f>R52/$F$4</f>
        <v>#VALUE!</v>
      </c>
    </row>
    <row r="60" spans="1:22">
      <c r="A60" s="2" t="s">
        <v>223</v>
      </c>
      <c r="D60" s="9" t="e">
        <f>V31</f>
        <v>#VALUE!</v>
      </c>
      <c r="E60" s="9" t="e">
        <f>V52</f>
        <v>#VALUE!</v>
      </c>
    </row>
    <row r="61" spans="1:22">
      <c r="A61" s="2" t="s">
        <v>224</v>
      </c>
      <c r="D61" s="39" t="e">
        <f>T31</f>
        <v>#VALUE!</v>
      </c>
      <c r="E61" s="39" t="e">
        <f>T52</f>
        <v>#VALUE!</v>
      </c>
    </row>
    <row r="62" spans="1:22">
      <c r="A62" s="2" t="s">
        <v>225</v>
      </c>
      <c r="D62" s="39" t="e">
        <f>(R31/$F$4-V31)/(R31/$F$4)</f>
        <v>#VALUE!</v>
      </c>
      <c r="E62" s="39" t="e">
        <f>(R52/$F$4-V52)/(R52/$F$4)</f>
        <v>#VALUE!</v>
      </c>
    </row>
    <row r="63" spans="1:22">
      <c r="A63" s="2" t="s">
        <v>226</v>
      </c>
      <c r="D63" s="9" t="e">
        <f>R31/$F$4-V31</f>
        <v>#VALUE!</v>
      </c>
      <c r="E63" s="9" t="e">
        <f>R52/$F$4-V52</f>
        <v>#VALUE!</v>
      </c>
    </row>
    <row r="64" spans="1:22">
      <c r="A64" s="2" t="s">
        <v>227</v>
      </c>
      <c r="D64" s="9">
        <f>K31</f>
        <v>4015</v>
      </c>
      <c r="E64" s="9">
        <f>K52</f>
        <v>1065</v>
      </c>
    </row>
    <row r="65" spans="1:5">
      <c r="A65" s="2" t="s">
        <v>228</v>
      </c>
      <c r="D65" s="9">
        <f>J31</f>
        <v>110.2225</v>
      </c>
      <c r="E65" s="9">
        <f>J52</f>
        <v>110.2225</v>
      </c>
    </row>
    <row r="66" spans="1:5">
      <c r="A66" s="2" t="s">
        <v>229</v>
      </c>
      <c r="D66" s="43" t="e">
        <f>ROUND(O31-(H31+J31+K31+L31+M31+N31),6)</f>
        <v>#VALUE!</v>
      </c>
      <c r="E66" s="43" t="e">
        <f>ROUND(O52-(H52+J52+K52+L52+M52+N52),6)</f>
        <v>#VALUE!</v>
      </c>
    </row>
    <row r="67" spans="1:5">
      <c r="A67" s="2" t="s">
        <v>230</v>
      </c>
      <c r="D67" s="43">
        <f>ROUND(J31-(H31*$F$8*($F$9*$F$10/$F$11)+'Bank Fee'!$H$8),6)</f>
        <v>0</v>
      </c>
      <c r="E67" s="43">
        <f>ROUND(J52-(H52*$F$8*($F$9*$F$10/$F$11)+'Bank Fee'!$H$8),6)</f>
        <v>0</v>
      </c>
    </row>
    <row r="68" spans="1:5">
      <c r="A68" s="19" t="s">
        <v>231</v>
      </c>
      <c r="D68" s="44" t="e">
        <f>R31-R52</f>
        <v>#VALUE!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"/>
  <sheetViews>
    <sheetView topLeftCell="K1" workbookViewId="0">
      <selection activeCell="A1" sqref="A1"/>
    </sheetView>
  </sheetViews>
  <sheetFormatPr defaultColWidth="8.68181818181818" defaultRowHeight="14.5"/>
  <cols>
    <col min="1" max="2" width="12" customWidth="1"/>
    <col min="3" max="4" width="8" customWidth="1"/>
    <col min="5" max="5" width="13" customWidth="1"/>
    <col min="6" max="6" width="11" customWidth="1"/>
    <col min="7" max="8" width="13" customWidth="1"/>
    <col min="9" max="9" width="14" customWidth="1"/>
    <col min="10" max="10" width="12" customWidth="1"/>
    <col min="11" max="11" width="13" customWidth="1"/>
    <col min="12" max="12" width="12" customWidth="1"/>
    <col min="13" max="13" width="15" customWidth="1"/>
    <col min="14" max="14" width="10" customWidth="1"/>
    <col min="15" max="15" width="14" customWidth="1"/>
    <col min="16" max="17" width="11" customWidth="1"/>
    <col min="18" max="18" width="13" customWidth="1"/>
    <col min="19" max="19" width="14" customWidth="1"/>
    <col min="20" max="20" width="17" customWidth="1"/>
  </cols>
  <sheetData>
    <row r="1" ht="15.5" spans="1:20">
      <c r="A1" s="1" t="s">
        <v>232</v>
      </c>
    </row>
    <row r="2" spans="1:20">
      <c r="A2" s="21" t="s">
        <v>233</v>
      </c>
    </row>
    <row r="4" ht="31.5" customHeight="1" spans="1:20">
      <c r="A4" s="3" t="s">
        <v>234</v>
      </c>
      <c r="B4" s="3" t="s">
        <v>109</v>
      </c>
      <c r="C4" s="3" t="s">
        <v>235</v>
      </c>
      <c r="D4" s="3" t="s">
        <v>236</v>
      </c>
      <c r="E4" s="3" t="s">
        <v>237</v>
      </c>
      <c r="F4" s="3" t="s">
        <v>238</v>
      </c>
      <c r="G4" s="3" t="s">
        <v>239</v>
      </c>
      <c r="H4" s="3" t="s">
        <v>240</v>
      </c>
      <c r="I4" s="3" t="s">
        <v>241</v>
      </c>
      <c r="J4" s="3" t="s">
        <v>242</v>
      </c>
      <c r="K4" s="3" t="s">
        <v>243</v>
      </c>
      <c r="L4" s="3" t="s">
        <v>244</v>
      </c>
      <c r="M4" s="3" t="s">
        <v>245</v>
      </c>
      <c r="N4" s="3" t="s">
        <v>117</v>
      </c>
      <c r="O4" s="3" t="s">
        <v>111</v>
      </c>
      <c r="P4" s="3" t="s">
        <v>246</v>
      </c>
      <c r="Q4" s="3" t="s">
        <v>247</v>
      </c>
      <c r="R4" s="3" t="s">
        <v>248</v>
      </c>
      <c r="S4" s="3" t="s">
        <v>249</v>
      </c>
      <c r="T4" s="3" t="s">
        <v>121</v>
      </c>
    </row>
    <row r="5" spans="1:20">
      <c r="A5" s="4" t="s">
        <v>250</v>
      </c>
      <c r="B5" s="8">
        <f>'Margin Analysis'!$G$31</f>
        <v>1031.0328</v>
      </c>
      <c r="C5" s="4" t="s">
        <v>251</v>
      </c>
      <c r="D5" s="4" t="s">
        <v>151</v>
      </c>
      <c r="E5" s="4" t="s">
        <v>252</v>
      </c>
      <c r="F5" s="4" t="s">
        <v>253</v>
      </c>
      <c r="G5" s="13">
        <v>500</v>
      </c>
      <c r="H5" s="13">
        <v>2.5</v>
      </c>
      <c r="I5" s="13">
        <v>1300</v>
      </c>
      <c r="J5" s="9">
        <f>G5+H5*I5</f>
        <v>3750</v>
      </c>
      <c r="K5" s="13">
        <v>150</v>
      </c>
      <c r="L5" s="13">
        <v>100</v>
      </c>
      <c r="M5" s="9">
        <f>J5+K5+L5</f>
        <v>4000</v>
      </c>
      <c r="N5" s="9">
        <f>IF(B5=0,0,M5/B5)</f>
        <v>3.87960499413792</v>
      </c>
      <c r="O5" s="8">
        <f>'Margin Analysis'!$H$31</f>
        <v>19271.2</v>
      </c>
      <c r="P5" s="22">
        <v>1.1</v>
      </c>
      <c r="Q5" s="22">
        <v>0.0001</v>
      </c>
      <c r="R5" s="13">
        <v>15</v>
      </c>
      <c r="S5" s="9">
        <f>MAX((O5+M5)*P5*Q5,R5)</f>
        <v>15</v>
      </c>
      <c r="T5" s="23">
        <f>M5+S5</f>
        <v>4015</v>
      </c>
    </row>
    <row r="6" spans="1:20">
      <c r="A6" s="4" t="s">
        <v>254</v>
      </c>
      <c r="B6" s="8">
        <f>'Margin Analysis'!$G$52</f>
        <v>1031.0328</v>
      </c>
      <c r="C6" s="4" t="s">
        <v>251</v>
      </c>
      <c r="D6" s="4" t="s">
        <v>151</v>
      </c>
      <c r="E6" s="4" t="s">
        <v>255</v>
      </c>
      <c r="F6" s="4" t="s">
        <v>253</v>
      </c>
      <c r="G6" s="13">
        <v>800</v>
      </c>
      <c r="H6" s="13">
        <v>0</v>
      </c>
      <c r="I6" s="13">
        <v>0</v>
      </c>
      <c r="J6" s="9">
        <f>G6+H6*I6</f>
        <v>800</v>
      </c>
      <c r="K6" s="13">
        <v>150</v>
      </c>
      <c r="L6" s="13">
        <v>100</v>
      </c>
      <c r="M6" s="9">
        <f>J6+K6+L6</f>
        <v>1050</v>
      </c>
      <c r="N6" s="9">
        <f>IF(B6=0,0,M6/B6)</f>
        <v>1.0183963109612</v>
      </c>
      <c r="O6" s="8">
        <f>'Margin Analysis'!$H$52</f>
        <v>19271.2</v>
      </c>
      <c r="P6" s="22">
        <v>1.1</v>
      </c>
      <c r="Q6" s="22">
        <v>0.0001</v>
      </c>
      <c r="R6" s="13">
        <v>15</v>
      </c>
      <c r="S6" s="9">
        <f>MAX((O6+M6)*P6*Q6,R6)</f>
        <v>15</v>
      </c>
      <c r="T6" s="23">
        <f>M6+S6</f>
        <v>1065</v>
      </c>
    </row>
    <row r="9" spans="1:20">
      <c r="A9" s="19" t="s">
        <v>256</v>
      </c>
    </row>
    <row r="10" spans="1:20">
      <c r="A10" s="20" t="s">
        <v>257</v>
      </c>
    </row>
    <row r="11" spans="1:20">
      <c r="A11" s="20" t="s">
        <v>258</v>
      </c>
    </row>
    <row r="12" spans="1:20">
      <c r="A12" s="20" t="s">
        <v>259</v>
      </c>
    </row>
    <row r="13" spans="1:20">
      <c r="A13" s="20" t="s">
        <v>260</v>
      </c>
    </row>
    <row r="14" spans="1:20">
      <c r="A14" s="20" t="s">
        <v>261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G14" sqref="G14"/>
    </sheetView>
  </sheetViews>
  <sheetFormatPr defaultColWidth="8.68181818181818" defaultRowHeight="14.5" outlineLevelCol="7"/>
  <cols>
    <col min="1" max="1" width="6" customWidth="1"/>
    <col min="2" max="2" width="34" customWidth="1"/>
    <col min="3" max="4" width="11" customWidth="1"/>
    <col min="5" max="5" width="14" customWidth="1"/>
    <col min="6" max="6" width="15" customWidth="1"/>
    <col min="7" max="7" width="41.5454545454545" customWidth="1"/>
    <col min="8" max="8" width="12" customWidth="1"/>
  </cols>
  <sheetData>
    <row r="1" ht="15.5" spans="1:8">
      <c r="A1" s="1" t="s">
        <v>262</v>
      </c>
    </row>
    <row r="2" spans="1:8">
      <c r="A2" s="2" t="s">
        <v>263</v>
      </c>
    </row>
    <row r="4" ht="30" customHeight="1" spans="1:8">
      <c r="A4" s="3" t="s">
        <v>264</v>
      </c>
      <c r="B4" s="3" t="s">
        <v>178</v>
      </c>
      <c r="C4" s="3" t="s">
        <v>265</v>
      </c>
      <c r="D4" s="3" t="s">
        <v>266</v>
      </c>
      <c r="E4" s="3" t="s">
        <v>267</v>
      </c>
      <c r="F4" s="3" t="s">
        <v>268</v>
      </c>
      <c r="G4" s="3" t="s">
        <v>269</v>
      </c>
      <c r="H4" s="3" t="s">
        <v>270</v>
      </c>
    </row>
    <row r="5" spans="1:8">
      <c r="A5" s="4">
        <v>1</v>
      </c>
      <c r="B5" s="5" t="s">
        <v>271</v>
      </c>
      <c r="C5" s="6">
        <v>0.002</v>
      </c>
      <c r="D5" s="6">
        <v>1.1</v>
      </c>
      <c r="E5" s="7">
        <v>50</v>
      </c>
      <c r="F5" s="8">
        <f>'Margin Analysis'!$H$31</f>
        <v>19271.2</v>
      </c>
      <c r="G5" s="5" t="s">
        <v>272</v>
      </c>
      <c r="H5" s="9">
        <f>IF('Margin Analysis'!$B$6="Local",0,MAX(C5*D5*F5,E5))</f>
        <v>50</v>
      </c>
    </row>
    <row r="6" spans="1:8">
      <c r="A6" s="4">
        <v>2</v>
      </c>
      <c r="B6" s="5" t="s">
        <v>273</v>
      </c>
      <c r="C6" s="6">
        <v>0.0005</v>
      </c>
      <c r="D6" s="6">
        <v>1</v>
      </c>
      <c r="E6" s="7">
        <v>5</v>
      </c>
      <c r="F6" s="7">
        <v>0</v>
      </c>
      <c r="G6" s="5" t="s">
        <v>274</v>
      </c>
      <c r="H6" s="9">
        <f>IF('Margin Analysis'!$B$5="VN",0,MAX(C6*D6*F6,E6))</f>
        <v>0</v>
      </c>
    </row>
    <row r="7" spans="1:8">
      <c r="A7" s="4">
        <v>3</v>
      </c>
      <c r="B7" s="5" t="s">
        <v>130</v>
      </c>
      <c r="C7" s="10"/>
      <c r="D7" s="10"/>
      <c r="E7" s="11"/>
      <c r="F7" s="11"/>
      <c r="G7" s="12"/>
      <c r="H7" s="13">
        <v>0</v>
      </c>
    </row>
    <row r="8" spans="1:8">
      <c r="A8" s="14"/>
      <c r="B8" s="15" t="s">
        <v>140</v>
      </c>
      <c r="C8" s="16"/>
      <c r="D8" s="16"/>
      <c r="E8" s="17"/>
      <c r="F8" s="17"/>
      <c r="G8" s="14"/>
      <c r="H8" s="18">
        <f>SUM(H5:H7)</f>
        <v>50</v>
      </c>
    </row>
    <row r="11" spans="1:8">
      <c r="A11" s="19" t="s">
        <v>256</v>
      </c>
    </row>
    <row r="12" spans="1:8">
      <c r="A12" s="20" t="s">
        <v>275</v>
      </c>
    </row>
    <row r="13" spans="1:8">
      <c r="A13" s="20" t="s">
        <v>276</v>
      </c>
    </row>
    <row r="14" spans="1:8">
      <c r="A14" s="20" t="s">
        <v>277</v>
      </c>
    </row>
    <row r="15" spans="1:8">
      <c r="A15" s="20" t="s">
        <v>278</v>
      </c>
    </row>
    <row r="16" spans="1:8">
      <c r="A16" s="20" t="s">
        <v>279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Guide</vt:lpstr>
      <vt:lpstr>Margin Analysis</vt:lpstr>
      <vt:lpstr>Logistic</vt:lpstr>
      <vt:lpstr>Bank Fee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Thành Trung Hồ</cp:lastModifiedBy>
  <cp:revision>0</cp:revision>
  <dcterms:created xsi:type="dcterms:W3CDTF">2026-08-09T12:09:00Z</dcterms:created>
  <dcterms:modified xsi:type="dcterms:W3CDTF">2026-08-26T08:58:29Z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889CE62D81CE47DBB621A16F908A530B_12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