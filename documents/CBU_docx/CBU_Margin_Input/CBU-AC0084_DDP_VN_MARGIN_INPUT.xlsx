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Margin Analysis" sheetId="2" state="visible" r:id="rId4"/>
    <sheet name="Logistic" sheetId="3" state="visible" r:id="rId5"/>
    <sheet name="Bank Fe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<sst xmlns="http://schemas.openxmlformats.org/spreadsheetml/2006/main" count="510" uniqueCount="292">
  <si>
    <t xml:space="preserve">HƯỚNG DẪN — Ô NÀO NHẬP TAY, Ô NÀO TỰ TÍNH</t>
  </si>
  <si>
    <t xml:space="preserve">QUY ƯỚC MÀU</t>
  </si>
  <si>
    <t xml:space="preserve">Chữ XANH DƯƠNG + nền vàng</t>
  </si>
  <si>
    <t xml:space="preserve">Ô INPUT — bạn nhập tay</t>
  </si>
  <si>
    <t xml:space="preserve">Chữ ĐEN</t>
  </si>
  <si>
    <t xml:space="preserve">Công thức tính trong cùng sheet — KHÔNG sửa</t>
  </si>
  <si>
    <t xml:space="preserve">Chữ XANH LÁ</t>
  </si>
  <si>
    <t xml:space="preserve">Công thức link sang sheet khác — KHÔNG sửa</t>
  </si>
  <si>
    <t xml:space="preserve">THỨ TỰ NHẬP LIỆU</t>
  </si>
  <si>
    <t xml:space="preserve">1. Sheet "Margin Analysis" — điền thông tin đơn hàng (B3:B9) và bảng PRICING PARAMETERS (F3:F13).</t>
  </si>
  <si>
    <t xml:space="preserve">2. Sheet "Logistic" — điền FREIGHT, Clearance, Inland, Chargeable weight cho từng shipment.</t>
  </si>
  <si>
    <t xml:space="preserve">3. Sheet "Bank Fee" — điền Rate, Min fee, và Base amount của International receive (F6).</t>
  </si>
  <si>
    <t xml:space="preserve">4. Sheet "Margin Analysis" — điền danh mục hàng: cột A–F, H, I của mỗi block.</t>
  </si>
  <si>
    <t xml:space="preserve">5. Mặc định KHÔNG cần làm gì thêm — hệ thống dùng Target margin (F5) chung cho cả đơn. Muốn set riêng từng dòng: điền cột "Margin % override" hoặc "Margin $/unit override" ở cuối bảng.</t>
  </si>
  <si>
    <t xml:space="preserve">CƠ CHẾ CHỌN MARGIN CHO TỪNG DÒNG HÀNG (MỚI)</t>
  </si>
  <si>
    <t xml:space="preserve">— Để trống cả 2 cột override → dùng Target margin (F5) áp dụng chung cho cả đơn hàng, như cũ.</t>
  </si>
  <si>
    <t xml:space="preserve">— Điền "Margin % override" (ví dụ 30%) → dòng đó dùng margin riêng, DDP Price tự tính lại theo % này.</t>
  </si>
  <si>
    <t xml:space="preserve">— Điền "Margin $/unit override" &gt; 0 (ví dụ 2.00) → ƯU TIÊN CAO NHẤT. DDP Price sẽ ra đúng bằng Unit Cost + số tiền lãi USD đã nhập (sau khi cộng cả hoa hồng và CIT phát sinh thêm từ giá bán mới).</t>
  </si>
  <si>
    <t xml:space="preserve">— Cột "Margin per unit" và "% Margin" (S, T) LUÔN LÀ KẾT QUẢ THỰC TẾ sau khi tính — không phải nơi để nhập.</t>
  </si>
  <si>
    <t xml:space="preserve">BẢN ĐỒ INPUT / CÔNG THỨC</t>
  </si>
  <si>
    <t xml:space="preserve">SHEET</t>
  </si>
  <si>
    <t xml:space="preserve">Ô / CỘT</t>
  </si>
  <si>
    <t xml:space="preserve">INDICATOR</t>
  </si>
  <si>
    <t xml:space="preserve">LOẠI</t>
  </si>
  <si>
    <t xml:space="preserve">CÔNG THỨC / GHI CHÚ</t>
  </si>
  <si>
    <t xml:space="preserve">Margin Analysis</t>
  </si>
  <si>
    <t xml:space="preserve">B3:B9</t>
  </si>
  <si>
    <t xml:space="preserve">Job No., Customer, Country, Goods origin, Incoterm, Payment terms, Inquiry date</t>
  </si>
  <si>
    <t xml:space="preserve">INPUT</t>
  </si>
  <si>
    <t xml:space="preserve">B5 (Country) và B6 (Goods origin) điều khiển công thức ở sheet Bank Fee</t>
  </si>
  <si>
    <t xml:space="preserve">F3</t>
  </si>
  <si>
    <t xml:space="preserve">Exchange rate (quote) USD→VND</t>
  </si>
  <si>
    <t xml:space="preserve">Dùng để quy DDP USD sang VND</t>
  </si>
  <si>
    <t xml:space="preserve">F4</t>
  </si>
  <si>
    <t xml:space="preserve">Exchange rate (booking) USD→VND</t>
  </si>
  <si>
    <t xml:space="preserve">Chỉ dùng cho phần tính margin thực tế</t>
  </si>
  <si>
    <t xml:space="preserve">F5</t>
  </si>
  <si>
    <t xml:space="preserve">Target margin (m)</t>
  </si>
  <si>
    <t xml:space="preserve">Đổi ô này → toàn bộ giá bán tự tính lại</t>
  </si>
  <si>
    <t xml:space="preserve">F6</t>
  </si>
  <si>
    <t xml:space="preserve">Commission rate (q)</t>
  </si>
  <si>
    <t xml:space="preserve">Tính trên giá bán</t>
  </si>
  <si>
    <t xml:space="preserve">F7</t>
  </si>
  <si>
    <t xml:space="preserve">CIT on commission (c)</t>
  </si>
  <si>
    <t xml:space="preserve">Thuế nhà thầu</t>
  </si>
  <si>
    <t xml:space="preserve">F8:F11</t>
  </si>
  <si>
    <t xml:space="preserve">% Value financed, Interest rate, Financing days, Days per year</t>
  </si>
  <si>
    <t xml:space="preserve">Cấu thành chi phí vốn ở cột J</t>
  </si>
  <si>
    <t xml:space="preserve">F12</t>
  </si>
  <si>
    <t xml:space="preserve">VND rounding step</t>
  </si>
  <si>
    <t xml:space="preserve">10.000 = làm tròn lên chục nghìn</t>
  </si>
  <si>
    <t xml:space="preserve">F13</t>
  </si>
  <si>
    <t xml:space="preserve">Conversion factor lb → kg</t>
  </si>
  <si>
    <t xml:space="preserve">Đặt = 1 nếu cột F nhập bằng kg</t>
  </si>
  <si>
    <t xml:space="preserve">A:F, H, I</t>
  </si>
  <si>
    <t xml:space="preserve">ITEM, Part No., Description, Supplier, Q'ty, Total Weight (lb), Material Cost, %Duty</t>
  </si>
  <si>
    <t xml:space="preserve">Đây là 8 cột duy nhất phải nhập cho mỗi dòng hàng</t>
  </si>
  <si>
    <t xml:space="preserve">G</t>
  </si>
  <si>
    <t xml:space="preserve">Weight (kg) / đơn vị</t>
  </si>
  <si>
    <t xml:space="preserve">CÔNG THỨC</t>
  </si>
  <si>
    <t xml:space="preserve">→ Total Weight (lb) ÷ Q'ty × Conversion factor</t>
  </si>
  <si>
    <t xml:space="preserve">J</t>
  </si>
  <si>
    <t xml:space="preserve">Bank fee</t>
  </si>
  <si>
    <t xml:space="preserve">→ Material Cost × % Value financed × (Interest rate × Financing days ÷ 360) + Total Bank Fee × (Material dòng ÷ Total material)</t>
  </si>
  <si>
    <t xml:space="preserve">K</t>
  </si>
  <si>
    <t xml:space="preserve">Logistics</t>
  </si>
  <si>
    <t xml:space="preserve">→ Total Logistic + Insurance của shipment × (Weight đơn vị ÷ Total weight)</t>
  </si>
  <si>
    <t xml:space="preserve">L</t>
  </si>
  <si>
    <t xml:space="preserve">Duty</t>
  </si>
  <si>
    <t xml:space="preserve">→ (Material Cost + Logistics) × %Duty</t>
  </si>
  <si>
    <t xml:space="preserve">P</t>
  </si>
  <si>
    <t xml:space="preserve">DDP Price (USD)</t>
  </si>
  <si>
    <t xml:space="preserve">→ IF(margin $/unit override &gt; 0; ROUNDUP((Material Cost+Bank fee+Logistics+Duty+Margin $/unit override)÷(1-Commission rate×(1+CIT rate));2); ROUNDUP((Material Cost+Bank fee+Logistics+Duty)÷(1-IF(Margin % override trống;Target margin;Margin % override)-Commission rate×(1+CIT rate));2) )  — 3 chế độ: mặc định theo Target margin chung; override theo % riêng dòng; override theo số tiền USD/đơn vị riêng dòng (ưu tiên cao nhất).,TRUE())</t>
  </si>
  <si>
    <t xml:space="preserve">M</t>
  </si>
  <si>
    <t xml:space="preserve">Commission</t>
  </si>
  <si>
    <t xml:space="preserve">→ Commission rate × DDP Price (USD)</t>
  </si>
  <si>
    <t xml:space="preserve">N</t>
  </si>
  <si>
    <t xml:space="preserve">CIT</t>
  </si>
  <si>
    <t xml:space="preserve">→ CIT rate × Commission</t>
  </si>
  <si>
    <t xml:space="preserve">O</t>
  </si>
  <si>
    <t xml:space="preserve">Unit Cost</t>
  </si>
  <si>
    <t xml:space="preserve">→ Material Cost + Bank fee + Logistics + Duty + Commission + CIT</t>
  </si>
  <si>
    <t xml:space="preserve">Q</t>
  </si>
  <si>
    <t xml:space="preserve">DDP Price (VND)</t>
  </si>
  <si>
    <t xml:space="preserve">→ ROUNDUP(DDP Price USD × Exchange rate ÷ rounding step) × rounding step</t>
  </si>
  <si>
    <t xml:space="preserve">R</t>
  </si>
  <si>
    <t xml:space="preserve">Total Revenue (VND)</t>
  </si>
  <si>
    <t xml:space="preserve">→ Q'ty × DDP Price (VND)</t>
  </si>
  <si>
    <t xml:space="preserve">S</t>
  </si>
  <si>
    <t xml:space="preserve">Margin per unit</t>
  </si>
  <si>
    <t xml:space="preserve">→ DDP Price (USD) − Unit Cost</t>
  </si>
  <si>
    <t xml:space="preserve">T</t>
  </si>
  <si>
    <t xml:space="preserve">% Margin</t>
  </si>
  <si>
    <t xml:space="preserve">→ Margin per unit ÷ DDP Price (USD) (≥ Target margin do làm tròn lên)</t>
  </si>
  <si>
    <t xml:space="preserve">U, V</t>
  </si>
  <si>
    <t xml:space="preserve">Total Margin, Total Cost</t>
  </si>
  <si>
    <t xml:space="preserve">→ Q'ty × Margin per unit / × Unit Cost</t>
  </si>
  <si>
    <t xml:space="preserve">Dòng TOTAL</t>
  </si>
  <si>
    <t xml:space="preserve">Tất cả cột</t>
  </si>
  <si>
    <t xml:space="preserve">SUMPRODUCT(Q'ty × cột đơn vị) cho cột đơn vị; SUM() cho cột đã nhân số lượng</t>
  </si>
  <si>
    <t xml:space="preserve">Khối SUMMARY</t>
  </si>
  <si>
    <t xml:space="preserve">So sánh AIR/SEA, Effective margin, checks</t>
  </si>
  <si>
    <t xml:space="preserve">Hai dòng CHECK phải bằng 0 — nếu khác 0 là công thức đã bị sửa sai</t>
  </si>
  <si>
    <t xml:space="preserve">Logistic</t>
  </si>
  <si>
    <t xml:space="preserve">C:I (trừ B)</t>
  </si>
  <si>
    <t xml:space="preserve">From, To, MOT, Forwarder, Fixed charge, Rate, Chargeable weight</t>
  </si>
  <si>
    <t xml:space="preserve">Theo báo giá của forwarder</t>
  </si>
  <si>
    <t xml:space="preserve">K, L</t>
  </si>
  <si>
    <t xml:space="preserve">Clearance, Inland</t>
  </si>
  <si>
    <t xml:space="preserve">Chi phí trọn gói mỗi shipment</t>
  </si>
  <si>
    <t xml:space="preserve">P, Q, R</t>
  </si>
  <si>
    <t xml:space="preserve">% Insured value, Insurance rate, Min insurance</t>
  </si>
  <si>
    <t xml:space="preserve">Mặc định 110%, 0,01%, min 15 USD</t>
  </si>
  <si>
    <t xml:space="preserve">B</t>
  </si>
  <si>
    <t xml:space="preserve">Weight (kg)</t>
  </si>
  <si>
    <t xml:space="preserve">→ Total weight của khối tương ứng bên Margin Analysis</t>
  </si>
  <si>
    <t xml:space="preserve">Goods value (USD)</t>
  </si>
  <si>
    <t xml:space="preserve">→ Total Material Cost bên Margin Analysis</t>
  </si>
  <si>
    <t xml:space="preserve">FREIGHT</t>
  </si>
  <si>
    <t xml:space="preserve">→ Fixed charge + Rate × Chargeable weight</t>
  </si>
  <si>
    <t xml:space="preserve">Total Logistic</t>
  </si>
  <si>
    <t xml:space="preserve">→ FREIGHT + Clearance + Inland</t>
  </si>
  <si>
    <t xml:space="preserve">USD/kg</t>
  </si>
  <si>
    <t xml:space="preserve">→ Total Logistic ÷ Weight (kg)</t>
  </si>
  <si>
    <t xml:space="preserve">Insurance</t>
  </si>
  <si>
    <t xml:space="preserve">→ MAX((Goods value + FREIGHT) × % Insured value × Insurance rate ; Min insurance)</t>
  </si>
  <si>
    <t xml:space="preserve">Total Logistic + Insurance</t>
  </si>
  <si>
    <t xml:space="preserve">→ Total Logistic + Insurance → pool phân bổ sang Margin Analysis</t>
  </si>
  <si>
    <t xml:space="preserve">Bank Fee</t>
  </si>
  <si>
    <t xml:space="preserve">C5:E6</t>
  </si>
  <si>
    <t xml:space="preserve">Rate, VAT factor, Min fee</t>
  </si>
  <si>
    <t xml:space="preserve">Theo biểu phí ngân hàng</t>
  </si>
  <si>
    <t xml:space="preserve">Base amount (International receive)</t>
  </si>
  <si>
    <t xml:space="preserve">Nhập tay giá trị hợp đồng USD — tránh vòng lặp công thức</t>
  </si>
  <si>
    <t xml:space="preserve">H7</t>
  </si>
  <si>
    <t xml:space="preserve">Other bank charges</t>
  </si>
  <si>
    <t xml:space="preserve">Để 0 nếu không có</t>
  </si>
  <si>
    <t xml:space="preserve">Base amount (International remittance)</t>
  </si>
  <si>
    <t xml:space="preserve">H5</t>
  </si>
  <si>
    <t xml:space="preserve">International remittance fee</t>
  </si>
  <si>
    <t xml:space="preserve">→ IF(Goods origin="Local"; 0; MAX(Rate × VAT factor × Base; Min fee))</t>
  </si>
  <si>
    <t xml:space="preserve">H6</t>
  </si>
  <si>
    <t xml:space="preserve">International receive fee</t>
  </si>
  <si>
    <t xml:space="preserve">→ IF(Country="VN"; 0; MAX(Rate × VAT factor × Base; Min fee))</t>
  </si>
  <si>
    <t xml:space="preserve">H8</t>
  </si>
  <si>
    <t xml:space="preserve">TOTAL BANK FEE</t>
  </si>
  <si>
    <t xml:space="preserve">→ SUM(H5:H7) → phân bổ sang cột J của Margin Analysis</t>
  </si>
  <si>
    <t xml:space="preserve">W (cuối bảng)</t>
  </si>
  <si>
    <t xml:space="preserve">Margin % override</t>
  </si>
  <si>
    <t xml:space="preserve">Để trống = dùng Target margin (F5) chung. Điền số (VD 30) = dòng này dùng 30% margin riêng, DDP Price tự tính lại.</t>
  </si>
  <si>
    <t xml:space="preserve">X (cuối bảng)</t>
  </si>
  <si>
    <t xml:space="preserve">Margin $/unit override</t>
  </si>
  <si>
    <t xml:space="preserve">Để trống hoặc 0 = không dùng. Điền số &gt; 0 (VD 2.00) = ưu tiên cao nhất, DDP Price = Unit Cost + đúng số tiền lãi USD đã nhập.</t>
  </si>
  <si>
    <t xml:space="preserve">MARGIN ANALYSIS – TÍNH GIÁ DDP</t>
  </si>
  <si>
    <t xml:space="preserve">PRICING PARAMETERS  (ô vàng = input)</t>
  </si>
  <si>
    <t xml:space="preserve">Margin theo TỪNG DÒNG (mới)</t>
  </si>
  <si>
    <t xml:space="preserve">Job No.</t>
  </si>
  <si>
    <t xml:space="preserve">AC0084-PCS-OTHVN</t>
  </si>
  <si>
    <t xml:space="preserve">Quy DDP USD sang VND</t>
  </si>
  <si>
    <t xml:space="preserve">Customer</t>
  </si>
  <si>
    <t xml:space="preserve">Hoang Son</t>
  </si>
  <si>
    <t xml:space="preserve">Tỷ giá ghi nhận thực tế</t>
  </si>
  <si>
    <t xml:space="preserve">Country</t>
  </si>
  <si>
    <t xml:space="preserve">VN</t>
  </si>
  <si>
    <t xml:space="preserve">Lãi gộp trên giá bán</t>
  </si>
  <si>
    <t xml:space="preserve">Goods origin</t>
  </si>
  <si>
    <t xml:space="preserve">Oversea</t>
  </si>
  <si>
    <t xml:space="preserve">Tính trên giá bán DDP USD</t>
  </si>
  <si>
    <t xml:space="preserve">Incoterm</t>
  </si>
  <si>
    <t xml:space="preserve">DDP Vung Tau</t>
  </si>
  <si>
    <t xml:space="preserve">Thuế nhà thầu trên hoa hồng</t>
  </si>
  <si>
    <t xml:space="preserve">Payment terms</t>
  </si>
  <si>
    <t xml:space="preserve">30% with order, 70% prior shipment</t>
  </si>
  <si>
    <t xml:space="preserve">% Value financed</t>
  </si>
  <si>
    <t xml:space="preserve">Theo điều khoản 30/70</t>
  </si>
  <si>
    <t xml:space="preserve">Inquiry date</t>
  </si>
  <si>
    <t xml:space="preserve">2026-08-09</t>
  </si>
  <si>
    <t xml:space="preserve">Interest rate p.a.</t>
  </si>
  <si>
    <t xml:space="preserve">Chi phí vốn</t>
  </si>
  <si>
    <t xml:space="preserve">Financing days</t>
  </si>
  <si>
    <t xml:space="preserve">Số ngày tài trợ vốn</t>
  </si>
  <si>
    <t xml:space="preserve">Ghi chú: chữ XANH DƯƠNG = ô nhập tay · chữ ĐEN = công thức · chữ XANH LÁ = link sang sheet khác</t>
  </si>
  <si>
    <t xml:space="preserve">Days per year</t>
  </si>
  <si>
    <t xml:space="preserve">Cơ sở quy đổi lãi</t>
  </si>
  <si>
    <t xml:space="preserve">Giá VND làm tròn LÊN bội số này</t>
  </si>
  <si>
    <t xml:space="preserve">BLOCK 1 — AIR FREIGHT</t>
  </si>
  <si>
    <t xml:space="preserve">Đặt = 1 nếu cột KL đã nhập bằng kg</t>
  </si>
  <si>
    <t xml:space="preserve">ITEM</t>
  </si>
  <si>
    <t xml:space="preserve">Part No.</t>
  </si>
  <si>
    <t xml:space="preserve">Description</t>
  </si>
  <si>
    <t xml:space="preserve">Supplier</t>
  </si>
  <si>
    <t xml:space="preserve">Q'ty</t>
  </si>
  <si>
    <t xml:space="preserve">Total Weight (lb)</t>
  </si>
  <si>
    <t xml:space="preserve">Material Cost</t>
  </si>
  <si>
    <t xml:space="preserve">%Duty</t>
  </si>
  <si>
    <t xml:space="preserve">Total Margin</t>
  </si>
  <si>
    <t xml:space="preserve">Total Cost</t>
  </si>
  <si>
    <t xml:space="preserve">A23-170</t>
  </si>
  <si>
    <t xml:space="preserve">(2633) 7 5/8" - 9 5/8" BASIC INSERT</t>
  </si>
  <si>
    <t xml:space="preserve">Keystone</t>
  </si>
  <si>
    <t xml:space="preserve">A23-170-B</t>
  </si>
  <si>
    <t xml:space="preserve">7 5/8" - 9 5/8" BEVELED BASIC INSERT (2633-B)</t>
  </si>
  <si>
    <t xml:space="preserve">A23-186</t>
  </si>
  <si>
    <t xml:space="preserve">(2649) SD INSERT ''UNDERSIZED''</t>
  </si>
  <si>
    <t xml:space="preserve">A23-186-B</t>
  </si>
  <si>
    <t xml:space="preserve">(2649B) SD BEVELED INSERT BEVELED</t>
  </si>
  <si>
    <t xml:space="preserve">A23-172</t>
  </si>
  <si>
    <t xml:space="preserve">(2637) 11 3/4" - 13 3/8" BASIC INSERT</t>
  </si>
  <si>
    <t xml:space="preserve">A23-172-B</t>
  </si>
  <si>
    <t xml:space="preserve">(2637B) 11-3/4" x 11-3/4" SD BEVELED INSERT</t>
  </si>
  <si>
    <t xml:space="preserve">A23-171</t>
  </si>
  <si>
    <t xml:space="preserve">(2640) 9 5/8" X 8 5/8" SD INSERT</t>
  </si>
  <si>
    <t xml:space="preserve">A23-171-B</t>
  </si>
  <si>
    <t xml:space="preserve">(2640) 9 5/8" X 8 5/8" SD BEVELED REDUCING INSERT</t>
  </si>
  <si>
    <t xml:space="preserve">A23-173</t>
  </si>
  <si>
    <t xml:space="preserve">(2636) 14" X 13 3/8" SD INSERT</t>
  </si>
  <si>
    <t xml:space="preserve">A23-173-B</t>
  </si>
  <si>
    <t xml:space="preserve">(2636) 14" X 13 3/8" SD BEVELED INSERT</t>
  </si>
  <si>
    <t xml:space="preserve">A23-180</t>
  </si>
  <si>
    <t xml:space="preserve">(2653) 14" X 13 5/8" SD INSERT</t>
  </si>
  <si>
    <t xml:space="preserve">A23-180-B</t>
  </si>
  <si>
    <t xml:space="preserve">(2653) 14" X 13 5/8" BEVELED SD INSERT</t>
  </si>
  <si>
    <t xml:space="preserve">A23-169</t>
  </si>
  <si>
    <t xml:space="preserve">(2623) 7 5/8" X 7" SD INSERT</t>
  </si>
  <si>
    <t xml:space="preserve">A23-169-B</t>
  </si>
  <si>
    <t xml:space="preserve">(2623-B) 7 5/8" X 7" SD INSERT</t>
  </si>
  <si>
    <t xml:space="preserve">TOTAL</t>
  </si>
  <si>
    <t xml:space="preserve">Cách chọn margin cho mỗi dòng: để trống cả 2 cột → dùng Target margin (F5) chung cho cả đơn. Điền "Margin % override" → dùng % margin riêng cho dòng đó. Điền "Margin $/unit override" (&gt;0) → ưu tiên cao nhất, DDP Price tính ra đúng bằng Unit Cost + số tiền lãi USD đã nhập.</t>
  </si>
  <si>
    <t xml:space="preserve">BLOCK 2 — SEA FREIGHT</t>
  </si>
  <si>
    <t xml:space="preserve">SUMMARY &amp; CHECKS</t>
  </si>
  <si>
    <t xml:space="preserve">Indicator</t>
  </si>
  <si>
    <t xml:space="preserve">AIR</t>
  </si>
  <si>
    <t xml:space="preserve">SEA</t>
  </si>
  <si>
    <t xml:space="preserve">Revenue in USD @ quote rate</t>
  </si>
  <si>
    <t xml:space="preserve">Revenue in USD @ booking rate</t>
  </si>
  <si>
    <t xml:space="preserve">Total Cost (USD)</t>
  </si>
  <si>
    <t xml:space="preserve">Nominal Margin % (on DDP USD)</t>
  </si>
  <si>
    <t xml:space="preserve">Effective Margin % (after rounding &amp; FX)</t>
  </si>
  <si>
    <t xml:space="preserve">Effective Gross Profit (USD)</t>
  </si>
  <si>
    <t xml:space="preserve">Total Logistics allocated (USD)</t>
  </si>
  <si>
    <t xml:space="preserve">Total Bank fee &amp; Financial cost (USD)</t>
  </si>
  <si>
    <t xml:space="preserve">CHECK: Unit Cost = H+J+K+L+M+N (phải = 0)</t>
  </si>
  <si>
    <t xml:space="preserve">CHECK: Bank fee allocated = Bank Fee!H8 (phải = 0)</t>
  </si>
  <si>
    <t xml:space="preserve">Revenue difference AIR - SEA (VND)</t>
  </si>
  <si>
    <t xml:space="preserve">LOGISTIC — FREIGHT &amp; INSURANCE COST POOL</t>
  </si>
  <si>
    <t xml:space="preserve">Chữ xanh dương = input · đen = công thức · xanh lá = link sang Margin Analysis</t>
  </si>
  <si>
    <t xml:space="preserve">Shipment</t>
  </si>
  <si>
    <t xml:space="preserve">From</t>
  </si>
  <si>
    <t xml:space="preserve">To</t>
  </si>
  <si>
    <t xml:space="preserve">MOT</t>
  </si>
  <si>
    <t xml:space="preserve">Forwarder</t>
  </si>
  <si>
    <t xml:space="preserve">Fixed charge (USD)</t>
  </si>
  <si>
    <t xml:space="preserve">Rate (USD/kg)</t>
  </si>
  <si>
    <t xml:space="preserve">Chargeable weight (kg)</t>
  </si>
  <si>
    <t xml:space="preserve">FREIGHT (USD)</t>
  </si>
  <si>
    <t xml:space="preserve">Clearance (USD)</t>
  </si>
  <si>
    <t xml:space="preserve">Inland (USD)</t>
  </si>
  <si>
    <t xml:space="preserve">Total Logistic (USD)</t>
  </si>
  <si>
    <t xml:space="preserve">% Insured value</t>
  </si>
  <si>
    <t xml:space="preserve">Insurance rate</t>
  </si>
  <si>
    <t xml:space="preserve">Min insurance (USD)</t>
  </si>
  <si>
    <t xml:space="preserve">Insurance (USD)</t>
  </si>
  <si>
    <t xml:space="preserve">Shipment 1</t>
  </si>
  <si>
    <t xml:space="preserve">US</t>
  </si>
  <si>
    <t xml:space="preserve">AIR FREIGHT</t>
  </si>
  <si>
    <t xml:space="preserve">OTHERS</t>
  </si>
  <si>
    <t xml:space="preserve">Shipment 2</t>
  </si>
  <si>
    <t xml:space="preserve">SEA FREIGHT</t>
  </si>
  <si>
    <t xml:space="preserve">Ghi chú:</t>
  </si>
  <si>
    <t xml:space="preserve">• Cột B (Weight) và cột O (Goods value) tự lấy từ sheet Margin Analysis — không sửa tay.</t>
  </si>
  <si>
    <t xml:space="preserve">• Cột I "Chargeable weight" là trọng lượng quy đổi thể tích do forwarder báo (air: 1.300 kg). Nhập tay.</t>
  </si>
  <si>
    <t xml:space="preserve">• Cước SEA nhập trọn gói ở cột G (Fixed charge), để Rate H = 0 và Chargeable weight I = 0.</t>
  </si>
  <si>
    <t xml:space="preserve">• Insurance = MAX((Goods value + FREIGHT) × 110% × 0,01% ; Min 15 USD).</t>
  </si>
  <si>
    <t xml:space="preserve">• Cột T (Total Logistic + Insurance) là pool mà sheet Margin Analysis phân bổ cho từng dòng theo trọng lượng.</t>
  </si>
  <si>
    <t xml:space="preserve">BANK FEE</t>
  </si>
  <si>
    <t xml:space="preserve">Bank: MBBANK</t>
  </si>
  <si>
    <t xml:space="preserve">No.</t>
  </si>
  <si>
    <t xml:space="preserve">Rate</t>
  </si>
  <si>
    <t xml:space="preserve">VAT factor</t>
  </si>
  <si>
    <t xml:space="preserve">Min fee (USD)</t>
  </si>
  <si>
    <t xml:space="preserve">Base amount (USD)</t>
  </si>
  <si>
    <t xml:space="preserve">Condition</t>
  </si>
  <si>
    <t xml:space="preserve">Fee (USD)</t>
  </si>
  <si>
    <t xml:space="preserve">International remittance (pay supplier)</t>
  </si>
  <si>
    <t xml:space="preserve">Applies only when Goods origin ≠ "Local"</t>
  </si>
  <si>
    <t xml:space="preserve">International receive (from customer)</t>
  </si>
  <si>
    <t xml:space="preserve">Applies only when Country ≠ "VN"</t>
  </si>
  <si>
    <t xml:space="preserve">• Tỷ lệ 0,200% × hệ số VAT 1,1 = 0,220% — đúng công thức MBBank (0,2% phí + 10% VAT).</t>
  </si>
  <si>
    <t xml:space="preserve">• Base amount của International remittance = Total Material Cost (số tiền thực trả nhà cung cấp), lấy tự động từ Margin Analysis.</t>
  </si>
  <si>
    <t xml:space="preserve">• Base amount của International receive (F6) phải NHẬP TAY giá trị hợp đồng USD, không link tự động để tránh vòng lặp công thức (revenue → bank fee → unit cost → revenue).</t>
  </si>
  <si>
    <t xml:space="preserve">• File gốc ghi nhãn 0,05% nhưng công thức là 0,005%. Bản này dùng 0,05% — vui lòng xác nhận lại biểu phí với ngân hàng.</t>
  </si>
  <si>
    <t xml:space="preserve">• Ô H8 (TOTAL BANK FEE) được sheet Margin Analysis phân bổ cho từng dòng theo tỷ trọng Material Cost.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</si>
</sst>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.0000"/>
    <numFmt numFmtId="168" formatCode="#,##0.00"/>
    <numFmt numFmtId="169" formatCode="#,##0.0000"/>
    <numFmt numFmtId="170" formatCode="#,##0.000000"/>
    <numFmt numFmtId="171" formatCode="0.000%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26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6"/>
    <col collapsed="false" customWidth="true" hidden="false" outlineLevel="0" max="3" min="3" style="1" width="44"/>
    <col collapsed="false" customWidth="true" hidden="false" outlineLevel="0" max="4" min="4" style="1" width="13"/>
    <col collapsed="false" customWidth="true" hidden="false" outlineLevel="0" max="5" min="5" style="1" width="78"/>
  </cols>
  <sheetData>
    <row r="1" customFormat="false" ht="15" hidden="false" customHeight="true" outlineLevel="0" collapsed="false">
      <c r="A1" s="2" t="s">
        <v>0</v>
      </c>
    </row>
    <row r="3" customFormat="false" ht="14.25" hidden="false" customHeight="true" outlineLevel="0" collapsed="false">
      <c r="A3" s="3" t="s">
        <v>1</v>
      </c>
    </row>
    <row r="4" customFormat="false" ht="14.25" hidden="false" customHeight="true" outlineLevel="0" collapsed="false">
      <c r="A4" s="4" t="s">
        <v>2</v>
      </c>
      <c r="B4" s="5" t="s">
        <v>3</v>
      </c>
    </row>
    <row r="5" customFormat="false" ht="14.25" hidden="false" customHeight="true" outlineLevel="0" collapsed="false">
      <c r="A5" s="6" t="s">
        <v>4</v>
      </c>
      <c r="B5" s="5" t="s">
        <v>5</v>
      </c>
    </row>
    <row r="6" customFormat="false" ht="14.25" hidden="false" customHeight="true" outlineLevel="0" collapsed="false">
      <c r="A6" s="7" t="s">
        <v>6</v>
      </c>
      <c r="B6" s="5" t="s">
        <v>7</v>
      </c>
    </row>
    <row r="8" customFormat="false" ht="14.25" hidden="false" customHeight="true" outlineLevel="0" collapsed="false">
      <c r="A8" s="3" t="s">
        <v>8</v>
      </c>
    </row>
    <row r="9" customFormat="false" ht="14.25" hidden="false" customHeight="true" outlineLevel="0" collapsed="false">
      <c r="A9" s="5" t="s">
        <v>9</v>
      </c>
    </row>
    <row r="10" customFormat="false" ht="14.25" hidden="false" customHeight="true" outlineLevel="0" collapsed="false">
      <c r="A10" s="5" t="s">
        <v>10</v>
      </c>
    </row>
    <row r="11" customFormat="false" ht="14.25" hidden="false" customHeight="true" outlineLevel="0" collapsed="false">
      <c r="A11" s="5" t="s">
        <v>11</v>
      </c>
    </row>
    <row r="12" customFormat="false" ht="14.25" hidden="false" customHeight="true" outlineLevel="0" collapsed="false">
      <c r="A12" s="5" t="s">
        <v>12</v>
      </c>
    </row>
    <row r="13" customFormat="false" ht="14.25" hidden="false" customHeight="true" outlineLevel="0" collapsed="false">
      <c r="A13" s="5" t="s">
        <v>13</v>
      </c>
    </row>
    <row r="14" customFormat="false" ht="14.25" hidden="false" customHeight="true" outlineLevel="0" collapsed="false">
      <c r="A14" s="5"/>
    </row>
    <row r="15" customFormat="false" ht="14.25" hidden="false" customHeight="true" outlineLevel="0" collapsed="false">
      <c r="A15" s="3" t="s">
        <v>14</v>
      </c>
    </row>
    <row r="16" customFormat="false" ht="14.25" hidden="false" customHeight="true" outlineLevel="0" collapsed="false">
      <c r="A16" s="5" t="s">
        <v>15</v>
      </c>
    </row>
    <row r="17" customFormat="false" ht="24.75" hidden="false" customHeight="true" outlineLevel="0" collapsed="false">
      <c r="A17" s="5" t="s">
        <v>16</v>
      </c>
    </row>
    <row r="18" customFormat="false" ht="14.25" hidden="false" customHeight="true" outlineLevel="0" collapsed="false">
      <c r="A18" s="5" t="s">
        <v>17</v>
      </c>
    </row>
    <row r="19" customFormat="false" ht="14.25" hidden="false" customHeight="true" outlineLevel="0" collapsed="false">
      <c r="A19" s="5" t="s">
        <v>18</v>
      </c>
    </row>
    <row r="20" customFormat="false" ht="14.25" hidden="false" customHeight="true" outlineLevel="0" collapsed="false"/>
    <row r="21" customFormat="false" ht="14.25" hidden="false" customHeight="true" outlineLevel="0" collapsed="false">
      <c r="A21" s="3" t="s">
        <v>19</v>
      </c>
    </row>
    <row r="22" customFormat="false" ht="14.25" hidden="false" customHeight="true" outlineLevel="0" collapsed="false">
      <c r="A22" s="8" t="s">
        <v>20</v>
      </c>
      <c r="B22" s="8" t="s">
        <v>21</v>
      </c>
      <c r="C22" s="8" t="s">
        <v>22</v>
      </c>
      <c r="D22" s="8" t="s">
        <v>23</v>
      </c>
      <c r="E22" s="8" t="s">
        <v>24</v>
      </c>
    </row>
    <row r="23" customFormat="false" ht="24.75" hidden="false" customHeight="true" outlineLevel="0" collapsed="false">
      <c r="A23" s="9" t="s">
        <v>25</v>
      </c>
      <c r="B23" s="9" t="s">
        <v>26</v>
      </c>
      <c r="C23" s="9" t="s">
        <v>27</v>
      </c>
      <c r="D23" s="10" t="s">
        <v>28</v>
      </c>
      <c r="E23" s="9" t="s">
        <v>29</v>
      </c>
    </row>
    <row r="24" customFormat="false" ht="14.25" hidden="false" customHeight="true" outlineLevel="0" collapsed="false">
      <c r="A24" s="9" t="s">
        <v>25</v>
      </c>
      <c r="B24" s="9" t="s">
        <v>30</v>
      </c>
      <c r="C24" s="9" t="s">
        <v>31</v>
      </c>
      <c r="D24" s="10" t="s">
        <v>28</v>
      </c>
      <c r="E24" s="9" t="s">
        <v>32</v>
      </c>
    </row>
    <row r="25" customFormat="false" ht="14.25" hidden="false" customHeight="true" outlineLevel="0" collapsed="false">
      <c r="A25" s="9" t="s">
        <v>25</v>
      </c>
      <c r="B25" s="9" t="s">
        <v>33</v>
      </c>
      <c r="C25" s="9" t="s">
        <v>34</v>
      </c>
      <c r="D25" s="10" t="s">
        <v>28</v>
      </c>
      <c r="E25" s="9" t="s">
        <v>35</v>
      </c>
    </row>
    <row r="26" customFormat="false" ht="24.75" hidden="false" customHeight="true" outlineLevel="0" collapsed="false">
      <c r="A26" s="9" t="s">
        <v>25</v>
      </c>
      <c r="B26" s="9" t="s">
        <v>36</v>
      </c>
      <c r="C26" s="9" t="s">
        <v>37</v>
      </c>
      <c r="D26" s="10" t="s">
        <v>28</v>
      </c>
      <c r="E26" s="9" t="s">
        <v>38</v>
      </c>
    </row>
    <row r="27" customFormat="false" ht="14.25" hidden="false" customHeight="true" outlineLevel="0" collapsed="false">
      <c r="A27" s="9" t="s">
        <v>25</v>
      </c>
      <c r="B27" s="9" t="s">
        <v>39</v>
      </c>
      <c r="C27" s="9" t="s">
        <v>40</v>
      </c>
      <c r="D27" s="10" t="s">
        <v>28</v>
      </c>
      <c r="E27" s="9" t="s">
        <v>41</v>
      </c>
    </row>
    <row r="28" customFormat="false" ht="24.75" hidden="false" customHeight="true" outlineLevel="0" collapsed="false">
      <c r="A28" s="9" t="s">
        <v>25</v>
      </c>
      <c r="B28" s="9" t="s">
        <v>42</v>
      </c>
      <c r="C28" s="9" t="s">
        <v>43</v>
      </c>
      <c r="D28" s="10" t="s">
        <v>28</v>
      </c>
      <c r="E28" s="9" t="s">
        <v>44</v>
      </c>
    </row>
    <row r="29" customFormat="false" ht="14.25" hidden="false" customHeight="true" outlineLevel="0" collapsed="false">
      <c r="A29" s="9" t="s">
        <v>25</v>
      </c>
      <c r="B29" s="9" t="s">
        <v>45</v>
      </c>
      <c r="C29" s="9" t="s">
        <v>46</v>
      </c>
      <c r="D29" s="10" t="s">
        <v>28</v>
      </c>
      <c r="E29" s="9" t="s">
        <v>47</v>
      </c>
    </row>
    <row r="30" customFormat="false" ht="14.25" hidden="false" customHeight="true" outlineLevel="0" collapsed="false">
      <c r="A30" s="9" t="s">
        <v>25</v>
      </c>
      <c r="B30" s="9" t="s">
        <v>48</v>
      </c>
      <c r="C30" s="9" t="s">
        <v>49</v>
      </c>
      <c r="D30" s="10" t="s">
        <v>28</v>
      </c>
      <c r="E30" s="9" t="s">
        <v>50</v>
      </c>
    </row>
    <row r="31" customFormat="false" ht="24.75" hidden="false" customHeight="true" outlineLevel="0" collapsed="false">
      <c r="A31" s="9" t="s">
        <v>25</v>
      </c>
      <c r="B31" s="9" t="s">
        <v>51</v>
      </c>
      <c r="C31" s="9" t="s">
        <v>52</v>
      </c>
      <c r="D31" s="10" t="s">
        <v>28</v>
      </c>
      <c r="E31" s="9" t="s">
        <v>53</v>
      </c>
    </row>
    <row r="32" customFormat="false" ht="14.25" hidden="false" customHeight="true" outlineLevel="0" collapsed="false">
      <c r="A32" s="9" t="s">
        <v>25</v>
      </c>
      <c r="B32" s="9" t="s">
        <v>54</v>
      </c>
      <c r="C32" s="9" t="s">
        <v>55</v>
      </c>
      <c r="D32" s="10" t="s">
        <v>28</v>
      </c>
      <c r="E32" s="9" t="s">
        <v>56</v>
      </c>
    </row>
    <row r="33" customFormat="false" ht="14.25" hidden="false" customHeight="true" outlineLevel="0" collapsed="false">
      <c r="A33" s="9" t="s">
        <v>25</v>
      </c>
      <c r="B33" s="9" t="s">
        <v>57</v>
      </c>
      <c r="C33" s="9" t="s">
        <v>58</v>
      </c>
      <c r="D33" s="11" t="s">
        <v>59</v>
      </c>
      <c r="E33" s="9" t="s">
        <v>60</v>
      </c>
    </row>
    <row r="34" customFormat="false" ht="14.25" hidden="false" customHeight="true" outlineLevel="0" collapsed="false">
      <c r="A34" s="9" t="s">
        <v>25</v>
      </c>
      <c r="B34" s="9" t="s">
        <v>61</v>
      </c>
      <c r="C34" s="9" t="s">
        <v>62</v>
      </c>
      <c r="D34" s="11" t="s">
        <v>59</v>
      </c>
      <c r="E34" s="9" t="s">
        <v>63</v>
      </c>
    </row>
    <row r="35" customFormat="false" ht="14.25" hidden="false" customHeight="true" outlineLevel="0" collapsed="false">
      <c r="A35" s="9" t="s">
        <v>25</v>
      </c>
      <c r="B35" s="9" t="s">
        <v>64</v>
      </c>
      <c r="C35" s="9" t="s">
        <v>65</v>
      </c>
      <c r="D35" s="11" t="s">
        <v>59</v>
      </c>
      <c r="E35" s="9" t="s">
        <v>66</v>
      </c>
    </row>
    <row r="36" customFormat="false" ht="14.25" hidden="false" customHeight="true" outlineLevel="0" collapsed="false">
      <c r="A36" s="9" t="s">
        <v>25</v>
      </c>
      <c r="B36" s="9" t="s">
        <v>67</v>
      </c>
      <c r="C36" s="9" t="s">
        <v>68</v>
      </c>
      <c r="D36" s="11" t="s">
        <v>59</v>
      </c>
      <c r="E36" s="9" t="s">
        <v>69</v>
      </c>
    </row>
    <row r="37" customFormat="false" ht="14.25" hidden="false" customHeight="true" outlineLevel="0" collapsed="false">
      <c r="A37" s="9" t="s">
        <v>25</v>
      </c>
      <c r="B37" s="9" t="s">
        <v>70</v>
      </c>
      <c r="C37" s="9" t="s">
        <v>71</v>
      </c>
      <c r="D37" s="11" t="s">
        <v>59</v>
      </c>
      <c r="E37" s="9" t="s">
        <v>72</v>
      </c>
    </row>
    <row r="38" customFormat="false" ht="14.25" hidden="false" customHeight="true" outlineLevel="0" collapsed="false">
      <c r="A38" s="9" t="s">
        <v>25</v>
      </c>
      <c r="B38" s="9" t="s">
        <v>73</v>
      </c>
      <c r="C38" s="9" t="s">
        <v>74</v>
      </c>
      <c r="D38" s="11" t="s">
        <v>59</v>
      </c>
      <c r="E38" s="9" t="s">
        <v>75</v>
      </c>
    </row>
    <row r="39" customFormat="false" ht="14.25" hidden="false" customHeight="true" outlineLevel="0" collapsed="false">
      <c r="A39" s="9" t="s">
        <v>25</v>
      </c>
      <c r="B39" s="9" t="s">
        <v>76</v>
      </c>
      <c r="C39" s="9" t="s">
        <v>77</v>
      </c>
      <c r="D39" s="11" t="s">
        <v>59</v>
      </c>
      <c r="E39" s="9" t="s">
        <v>78</v>
      </c>
    </row>
    <row r="40" customFormat="false" ht="14.25" hidden="false" customHeight="true" outlineLevel="0" collapsed="false">
      <c r="A40" s="9" t="s">
        <v>25</v>
      </c>
      <c r="B40" s="9" t="s">
        <v>79</v>
      </c>
      <c r="C40" s="9" t="s">
        <v>80</v>
      </c>
      <c r="D40" s="11" t="s">
        <v>59</v>
      </c>
      <c r="E40" s="9" t="s">
        <v>81</v>
      </c>
    </row>
    <row r="41" customFormat="false" ht="14.25" hidden="false" customHeight="true" outlineLevel="0" collapsed="false">
      <c r="A41" s="9" t="s">
        <v>25</v>
      </c>
      <c r="B41" s="9" t="s">
        <v>82</v>
      </c>
      <c r="C41" s="9" t="s">
        <v>83</v>
      </c>
      <c r="D41" s="11" t="s">
        <v>59</v>
      </c>
      <c r="E41" s="9" t="s">
        <v>84</v>
      </c>
    </row>
    <row r="42" customFormat="false" ht="24.75" hidden="false" customHeight="true" outlineLevel="0" collapsed="false">
      <c r="A42" s="9" t="s">
        <v>25</v>
      </c>
      <c r="B42" s="9" t="s">
        <v>85</v>
      </c>
      <c r="C42" s="9" t="s">
        <v>86</v>
      </c>
      <c r="D42" s="11" t="s">
        <v>59</v>
      </c>
      <c r="E42" s="9" t="s">
        <v>87</v>
      </c>
    </row>
    <row r="43" customFormat="false" ht="14.25" hidden="false" customHeight="true" outlineLevel="0" collapsed="false">
      <c r="A43" s="9" t="s">
        <v>25</v>
      </c>
      <c r="B43" s="9" t="s">
        <v>88</v>
      </c>
      <c r="C43" s="9" t="s">
        <v>89</v>
      </c>
      <c r="D43" s="11" t="s">
        <v>59</v>
      </c>
      <c r="E43" s="9" t="s">
        <v>90</v>
      </c>
    </row>
    <row r="44" customFormat="false" ht="14.25" hidden="false" customHeight="true" outlineLevel="0" collapsed="false">
      <c r="A44" s="9" t="s">
        <v>25</v>
      </c>
      <c r="B44" s="9" t="s">
        <v>91</v>
      </c>
      <c r="C44" s="9" t="s">
        <v>92</v>
      </c>
      <c r="D44" s="11" t="s">
        <v>59</v>
      </c>
      <c r="E44" s="9" t="s">
        <v>93</v>
      </c>
    </row>
    <row r="45" customFormat="false" ht="14.25" hidden="false" customHeight="true" outlineLevel="0" collapsed="false">
      <c r="A45" s="9" t="s">
        <v>25</v>
      </c>
      <c r="B45" s="9" t="s">
        <v>94</v>
      </c>
      <c r="C45" s="9" t="s">
        <v>95</v>
      </c>
      <c r="D45" s="11" t="s">
        <v>59</v>
      </c>
      <c r="E45" s="9" t="s">
        <v>96</v>
      </c>
    </row>
    <row r="46" customFormat="false" ht="14.25" hidden="false" customHeight="true" outlineLevel="0" collapsed="false">
      <c r="A46" s="9" t="s">
        <v>25</v>
      </c>
      <c r="B46" s="9" t="s">
        <v>97</v>
      </c>
      <c r="C46" s="9" t="s">
        <v>98</v>
      </c>
      <c r="D46" s="11" t="s">
        <v>59</v>
      </c>
      <c r="E46" s="9" t="s">
        <v>99</v>
      </c>
    </row>
    <row r="47" customFormat="false" ht="14.25" hidden="false" customHeight="true" outlineLevel="0" collapsed="false">
      <c r="A47" s="9" t="s">
        <v>25</v>
      </c>
      <c r="B47" s="9" t="s">
        <v>100</v>
      </c>
      <c r="C47" s="9" t="s">
        <v>101</v>
      </c>
      <c r="D47" s="11" t="s">
        <v>59</v>
      </c>
      <c r="E47" s="9" t="s">
        <v>102</v>
      </c>
    </row>
    <row r="48" customFormat="false" ht="14.25" hidden="false" customHeight="true" outlineLevel="0" collapsed="false">
      <c r="A48" s="9" t="s">
        <v>103</v>
      </c>
      <c r="B48" s="9" t="s">
        <v>104</v>
      </c>
      <c r="C48" s="9" t="s">
        <v>105</v>
      </c>
      <c r="D48" s="10" t="s">
        <v>28</v>
      </c>
      <c r="E48" s="9" t="s">
        <v>106</v>
      </c>
    </row>
    <row r="49" customFormat="false" ht="14.25" hidden="false" customHeight="true" outlineLevel="0" collapsed="false">
      <c r="A49" s="9" t="s">
        <v>103</v>
      </c>
      <c r="B49" s="9" t="s">
        <v>107</v>
      </c>
      <c r="C49" s="9" t="s">
        <v>108</v>
      </c>
      <c r="D49" s="10" t="s">
        <v>28</v>
      </c>
      <c r="E49" s="9" t="s">
        <v>109</v>
      </c>
    </row>
    <row r="50" customFormat="false" ht="14.25" hidden="false" customHeight="true" outlineLevel="0" collapsed="false">
      <c r="A50" s="9" t="s">
        <v>103</v>
      </c>
      <c r="B50" s="9" t="s">
        <v>110</v>
      </c>
      <c r="C50" s="9" t="s">
        <v>111</v>
      </c>
      <c r="D50" s="10" t="s">
        <v>28</v>
      </c>
      <c r="E50" s="9" t="s">
        <v>112</v>
      </c>
    </row>
    <row r="51" customFormat="false" ht="14.25" hidden="false" customHeight="true" outlineLevel="0" collapsed="false">
      <c r="A51" s="9" t="s">
        <v>103</v>
      </c>
      <c r="B51" s="9" t="s">
        <v>113</v>
      </c>
      <c r="C51" s="9" t="s">
        <v>114</v>
      </c>
      <c r="D51" s="11" t="s">
        <v>59</v>
      </c>
      <c r="E51" s="9" t="s">
        <v>115</v>
      </c>
    </row>
    <row r="52" customFormat="false" ht="14.25" hidden="false" customHeight="true" outlineLevel="0" collapsed="false">
      <c r="A52" s="9" t="s">
        <v>103</v>
      </c>
      <c r="B52" s="9" t="s">
        <v>79</v>
      </c>
      <c r="C52" s="9" t="s">
        <v>116</v>
      </c>
      <c r="D52" s="11" t="s">
        <v>59</v>
      </c>
      <c r="E52" s="9" t="s">
        <v>117</v>
      </c>
    </row>
    <row r="53" customFormat="false" ht="14.25" hidden="false" customHeight="true" outlineLevel="0" collapsed="false">
      <c r="A53" s="9" t="s">
        <v>103</v>
      </c>
      <c r="B53" s="9" t="s">
        <v>61</v>
      </c>
      <c r="C53" s="9" t="s">
        <v>118</v>
      </c>
      <c r="D53" s="11" t="s">
        <v>59</v>
      </c>
      <c r="E53" s="9" t="s">
        <v>119</v>
      </c>
    </row>
    <row r="54" customFormat="false" ht="14.25" hidden="false" customHeight="true" outlineLevel="0" collapsed="false">
      <c r="A54" s="9" t="s">
        <v>103</v>
      </c>
      <c r="B54" s="9" t="s">
        <v>73</v>
      </c>
      <c r="C54" s="9" t="s">
        <v>120</v>
      </c>
      <c r="D54" s="11" t="s">
        <v>59</v>
      </c>
      <c r="E54" s="9" t="s">
        <v>121</v>
      </c>
    </row>
    <row r="55" customFormat="false" ht="14.25" hidden="false" customHeight="true" outlineLevel="0" collapsed="false">
      <c r="A55" s="9" t="s">
        <v>103</v>
      </c>
      <c r="B55" s="9" t="s">
        <v>76</v>
      </c>
      <c r="C55" s="9" t="s">
        <v>122</v>
      </c>
      <c r="D55" s="11" t="s">
        <v>59</v>
      </c>
      <c r="E55" s="9" t="s">
        <v>123</v>
      </c>
    </row>
    <row r="56" customFormat="false" ht="14.25" hidden="false" customHeight="true" outlineLevel="0" collapsed="false">
      <c r="A56" s="9" t="s">
        <v>103</v>
      </c>
      <c r="B56" s="9" t="s">
        <v>88</v>
      </c>
      <c r="C56" s="9" t="s">
        <v>124</v>
      </c>
      <c r="D56" s="11" t="s">
        <v>59</v>
      </c>
      <c r="E56" s="9" t="s">
        <v>125</v>
      </c>
    </row>
    <row r="57" customFormat="false" ht="14.25" hidden="false" customHeight="true" outlineLevel="0" collapsed="false">
      <c r="A57" s="9" t="s">
        <v>103</v>
      </c>
      <c r="B57" s="9" t="s">
        <v>91</v>
      </c>
      <c r="C57" s="9" t="s">
        <v>126</v>
      </c>
      <c r="D57" s="11" t="s">
        <v>59</v>
      </c>
      <c r="E57" s="9" t="s">
        <v>127</v>
      </c>
    </row>
    <row r="58" customFormat="false" ht="14.25" hidden="false" customHeight="true" outlineLevel="0" collapsed="false">
      <c r="A58" s="9" t="s">
        <v>128</v>
      </c>
      <c r="B58" s="9" t="s">
        <v>129</v>
      </c>
      <c r="C58" s="9" t="s">
        <v>130</v>
      </c>
      <c r="D58" s="10" t="s">
        <v>28</v>
      </c>
      <c r="E58" s="9" t="s">
        <v>131</v>
      </c>
    </row>
    <row r="59" customFormat="false" ht="14.25" hidden="false" customHeight="true" outlineLevel="0" collapsed="false">
      <c r="A59" s="9" t="s">
        <v>128</v>
      </c>
      <c r="B59" s="9" t="s">
        <v>39</v>
      </c>
      <c r="C59" s="9" t="s">
        <v>132</v>
      </c>
      <c r="D59" s="10" t="s">
        <v>28</v>
      </c>
      <c r="E59" s="9" t="s">
        <v>133</v>
      </c>
    </row>
    <row r="60" customFormat="false" ht="14.25" hidden="false" customHeight="true" outlineLevel="0" collapsed="false">
      <c r="A60" s="9" t="s">
        <v>128</v>
      </c>
      <c r="B60" s="9" t="s">
        <v>134</v>
      </c>
      <c r="C60" s="9" t="s">
        <v>135</v>
      </c>
      <c r="D60" s="10" t="s">
        <v>28</v>
      </c>
      <c r="E60" s="9" t="s">
        <v>136</v>
      </c>
    </row>
    <row r="61" customFormat="false" ht="14.25" hidden="false" customHeight="true" outlineLevel="0" collapsed="false">
      <c r="A61" s="9" t="s">
        <v>128</v>
      </c>
      <c r="B61" s="9" t="s">
        <v>36</v>
      </c>
      <c r="C61" s="9" t="s">
        <v>137</v>
      </c>
      <c r="D61" s="11" t="s">
        <v>59</v>
      </c>
      <c r="E61" s="9" t="s">
        <v>117</v>
      </c>
    </row>
    <row r="62" customFormat="false" ht="14.25" hidden="false" customHeight="true" outlineLevel="0" collapsed="false">
      <c r="A62" s="9" t="s">
        <v>128</v>
      </c>
      <c r="B62" s="9" t="s">
        <v>138</v>
      </c>
      <c r="C62" s="9" t="s">
        <v>139</v>
      </c>
      <c r="D62" s="11" t="s">
        <v>59</v>
      </c>
      <c r="E62" s="9" t="s">
        <v>140</v>
      </c>
    </row>
    <row r="63" customFormat="false" ht="14.25" hidden="false" customHeight="true" outlineLevel="0" collapsed="false">
      <c r="A63" s="9" t="s">
        <v>128</v>
      </c>
      <c r="B63" s="9" t="s">
        <v>141</v>
      </c>
      <c r="C63" s="9" t="s">
        <v>142</v>
      </c>
      <c r="D63" s="11" t="s">
        <v>59</v>
      </c>
      <c r="E63" s="9" t="s">
        <v>143</v>
      </c>
    </row>
    <row r="64" customFormat="false" ht="14.25" hidden="false" customHeight="true" outlineLevel="0" collapsed="false">
      <c r="A64" s="9" t="s">
        <v>128</v>
      </c>
      <c r="B64" s="9" t="s">
        <v>144</v>
      </c>
      <c r="C64" s="9" t="s">
        <v>145</v>
      </c>
      <c r="D64" s="11" t="s">
        <v>59</v>
      </c>
      <c r="E64" s="9" t="s">
        <v>146</v>
      </c>
    </row>
    <row r="65" customFormat="false" ht="23.25" hidden="false" customHeight="true" outlineLevel="0" collapsed="false">
      <c r="A65" s="9" t="s">
        <v>25</v>
      </c>
      <c r="B65" s="9" t="s">
        <v>147</v>
      </c>
      <c r="C65" s="9" t="s">
        <v>148</v>
      </c>
      <c r="D65" s="10" t="s">
        <v>28</v>
      </c>
      <c r="E65" s="9" t="s">
        <v>149</v>
      </c>
    </row>
    <row r="66" customFormat="false" ht="23.25" hidden="false" customHeight="true" outlineLevel="0" collapsed="false">
      <c r="A66" s="9" t="s">
        <v>25</v>
      </c>
      <c r="B66" s="9" t="s">
        <v>150</v>
      </c>
      <c r="C66" s="9" t="s">
        <v>151</v>
      </c>
      <c r="D66" s="10" t="s">
        <v>28</v>
      </c>
      <c r="E66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S17" activeCellId="0" sqref="S17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8.27"/>
    <col collapsed="false" customWidth="true" hidden="false" outlineLevel="0" max="2" min="2" style="1" width="41.45"/>
    <col collapsed="false" customWidth="true" hidden="false" outlineLevel="0" max="3" min="3" style="1" width="33.64"/>
    <col collapsed="false" customWidth="true" hidden="false" outlineLevel="0" max="4" min="4" style="1" width="11"/>
    <col collapsed="false" customWidth="true" hidden="false" outlineLevel="0" max="5" min="5" style="1" width="35.45"/>
    <col collapsed="false" customWidth="true" hidden="false" outlineLevel="0" max="6" min="6" style="1" width="25.27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1" min="10" style="1" width="11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3"/>
    <col collapsed="false" customWidth="true" hidden="false" outlineLevel="0" max="18" min="18" style="1" width="16"/>
    <col collapsed="false" customWidth="true" hidden="false" outlineLevel="0" max="19" min="19" style="1" width="11"/>
    <col collapsed="false" customWidth="true" hidden="false" outlineLevel="0" max="20" min="20" style="1" width="10"/>
    <col collapsed="false" customWidth="true" hidden="false" outlineLevel="0" max="23" min="21" style="1" width="13"/>
    <col collapsed="false" customWidth="true" hidden="false" outlineLevel="0" max="24" min="24" style="1" width="15"/>
  </cols>
  <sheetData>
    <row r="1" customFormat="false" ht="15" hidden="false" customHeight="true" outlineLevel="0" collapsed="false">
      <c r="A1" s="2" t="s">
        <v>153</v>
      </c>
    </row>
    <row r="2" customFormat="false" ht="14.25" hidden="false" customHeight="true" outlineLevel="0" collapsed="false">
      <c r="E2" s="12" t="s">
        <v>154</v>
      </c>
      <c r="I2" s="13" t="s">
        <v>155</v>
      </c>
    </row>
    <row r="3" customFormat="false" ht="14.25" hidden="false" customHeight="true" outlineLevel="0" collapsed="false">
      <c r="A3" s="3" t="s">
        <v>156</v>
      </c>
      <c r="B3" s="14" t="s">
        <v>157</v>
      </c>
      <c r="E3" s="5" t="s">
        <v>31</v>
      </c>
      <c r="F3" s="15" t="n">
        <v>26500</v>
      </c>
      <c r="G3" s="16" t="s">
        <v>158</v>
      </c>
    </row>
    <row r="4" customFormat="false" ht="14.25" hidden="false" customHeight="true" outlineLevel="0" collapsed="false">
      <c r="A4" s="3" t="s">
        <v>159</v>
      </c>
      <c r="B4" s="14" t="s">
        <v>160</v>
      </c>
      <c r="E4" s="5" t="s">
        <v>34</v>
      </c>
      <c r="F4" s="15" t="n">
        <v>26445</v>
      </c>
      <c r="G4" s="16" t="s">
        <v>161</v>
      </c>
    </row>
    <row r="5" customFormat="false" ht="14.25" hidden="false" customHeight="true" outlineLevel="0" collapsed="false">
      <c r="A5" s="3" t="s">
        <v>162</v>
      </c>
      <c r="B5" s="14" t="s">
        <v>163</v>
      </c>
      <c r="E5" s="5" t="s">
        <v>37</v>
      </c>
      <c r="F5" s="17" t="n">
        <v>0.25</v>
      </c>
      <c r="G5" s="16" t="s">
        <v>164</v>
      </c>
    </row>
    <row r="6" customFormat="false" ht="14.25" hidden="false" customHeight="true" outlineLevel="0" collapsed="false">
      <c r="A6" s="3" t="s">
        <v>165</v>
      </c>
      <c r="B6" s="14" t="s">
        <v>166</v>
      </c>
      <c r="E6" s="5" t="s">
        <v>40</v>
      </c>
      <c r="F6" s="17" t="n">
        <v>0.03</v>
      </c>
      <c r="G6" s="16" t="s">
        <v>167</v>
      </c>
    </row>
    <row r="7" customFormat="false" ht="14.25" hidden="false" customHeight="true" outlineLevel="0" collapsed="false">
      <c r="A7" s="3" t="s">
        <v>168</v>
      </c>
      <c r="B7" s="14" t="s">
        <v>169</v>
      </c>
      <c r="E7" s="5" t="s">
        <v>43</v>
      </c>
      <c r="F7" s="17" t="n">
        <v>0.2</v>
      </c>
      <c r="G7" s="16" t="s">
        <v>170</v>
      </c>
    </row>
    <row r="8" customFormat="false" ht="14.25" hidden="false" customHeight="true" outlineLevel="0" collapsed="false">
      <c r="A8" s="3" t="s">
        <v>171</v>
      </c>
      <c r="B8" s="14" t="s">
        <v>172</v>
      </c>
      <c r="E8" s="5" t="s">
        <v>173</v>
      </c>
      <c r="F8" s="17" t="n">
        <v>0.5</v>
      </c>
      <c r="G8" s="16" t="s">
        <v>174</v>
      </c>
    </row>
    <row r="9" customFormat="false" ht="14.25" hidden="false" customHeight="true" outlineLevel="0" collapsed="false">
      <c r="A9" s="3" t="s">
        <v>175</v>
      </c>
      <c r="B9" s="14" t="s">
        <v>176</v>
      </c>
      <c r="E9" s="5" t="s">
        <v>177</v>
      </c>
      <c r="F9" s="17" t="n">
        <v>0.15</v>
      </c>
      <c r="G9" s="16" t="s">
        <v>178</v>
      </c>
    </row>
    <row r="10" customFormat="false" ht="14.25" hidden="false" customHeight="true" outlineLevel="0" collapsed="false">
      <c r="E10" s="5" t="s">
        <v>179</v>
      </c>
      <c r="F10" s="15" t="n">
        <v>15</v>
      </c>
      <c r="G10" s="16" t="s">
        <v>180</v>
      </c>
    </row>
    <row r="11" customFormat="false" ht="14.25" hidden="false" customHeight="true" outlineLevel="0" collapsed="false">
      <c r="A11" s="18" t="s">
        <v>181</v>
      </c>
      <c r="E11" s="5" t="s">
        <v>182</v>
      </c>
      <c r="F11" s="15" t="n">
        <v>360</v>
      </c>
      <c r="G11" s="16" t="s">
        <v>183</v>
      </c>
    </row>
    <row r="12" customFormat="false" ht="14.25" hidden="false" customHeight="true" outlineLevel="0" collapsed="false">
      <c r="E12" s="5" t="s">
        <v>49</v>
      </c>
      <c r="F12" s="15" t="n">
        <v>10000</v>
      </c>
      <c r="G12" s="16" t="s">
        <v>184</v>
      </c>
    </row>
    <row r="13" customFormat="false" ht="15" hidden="false" customHeight="true" outlineLevel="0" collapsed="false">
      <c r="A13" s="19" t="s">
        <v>185</v>
      </c>
      <c r="B13" s="20"/>
      <c r="C13" s="20"/>
      <c r="D13" s="20"/>
      <c r="E13" s="21" t="s">
        <v>52</v>
      </c>
      <c r="F13" s="22" t="n">
        <v>0.4536</v>
      </c>
      <c r="G13" s="23" t="s">
        <v>186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customFormat="false" ht="30" hidden="false" customHeight="true" outlineLevel="0" collapsed="false">
      <c r="A14" s="24" t="s">
        <v>187</v>
      </c>
      <c r="B14" s="24" t="s">
        <v>188</v>
      </c>
      <c r="C14" s="24" t="s">
        <v>189</v>
      </c>
      <c r="D14" s="24" t="s">
        <v>190</v>
      </c>
      <c r="E14" s="24" t="s">
        <v>191</v>
      </c>
      <c r="F14" s="24" t="s">
        <v>192</v>
      </c>
      <c r="G14" s="24" t="s">
        <v>114</v>
      </c>
      <c r="H14" s="24" t="s">
        <v>193</v>
      </c>
      <c r="I14" s="24" t="s">
        <v>194</v>
      </c>
      <c r="J14" s="24" t="s">
        <v>62</v>
      </c>
      <c r="K14" s="24" t="s">
        <v>65</v>
      </c>
      <c r="L14" s="24" t="s">
        <v>68</v>
      </c>
      <c r="M14" s="24" t="s">
        <v>74</v>
      </c>
      <c r="N14" s="24" t="s">
        <v>77</v>
      </c>
      <c r="O14" s="24" t="s">
        <v>80</v>
      </c>
      <c r="P14" s="24" t="s">
        <v>71</v>
      </c>
      <c r="Q14" s="24" t="s">
        <v>83</v>
      </c>
      <c r="R14" s="24" t="s">
        <v>86</v>
      </c>
      <c r="S14" s="24" t="s">
        <v>89</v>
      </c>
      <c r="T14" s="24" t="s">
        <v>92</v>
      </c>
      <c r="U14" s="24" t="s">
        <v>195</v>
      </c>
      <c r="V14" s="24" t="s">
        <v>196</v>
      </c>
      <c r="W14" s="24" t="s">
        <v>148</v>
      </c>
      <c r="X14" s="24" t="s">
        <v>151</v>
      </c>
    </row>
    <row r="15" customFormat="false" ht="14.25" hidden="false" customHeight="true" outlineLevel="0" collapsed="false">
      <c r="A15" s="25" t="n">
        <v>1</v>
      </c>
      <c r="B15" s="25" t="s">
        <v>197</v>
      </c>
      <c r="C15" s="25" t="s">
        <v>198</v>
      </c>
      <c r="D15" s="25" t="s">
        <v>199</v>
      </c>
      <c r="E15" s="26" t="n">
        <v>320</v>
      </c>
      <c r="F15" s="27" t="n">
        <v>121.6</v>
      </c>
      <c r="G15" s="28" t="n">
        <f aca="false">IF($E15=0,0,$F15/$E15*$F$13)</f>
        <v>0.172368</v>
      </c>
      <c r="H15" s="29" t="n">
        <v>4.37</v>
      </c>
      <c r="I15" s="30" t="n">
        <v>0</v>
      </c>
      <c r="J15" s="31" t="n">
        <f aca="false">$H15*$F$8*($F$9*$F$10/$F$11)+IF($H$31=0,0,'Bank Fee'!$H$8*$H15/$H$31)</f>
        <v>0.0249944126468513</v>
      </c>
      <c r="K15" s="31" t="n">
        <f aca="false">IF($G$31=0,0,(Logistic!$M$5+Logistic!$R$5)*$G15/$G$31)</f>
        <v>0.671227452705675</v>
      </c>
      <c r="L15" s="28" t="n">
        <f aca="false">($H15+$K15)*$I15</f>
        <v>0</v>
      </c>
      <c r="M15" s="28" t="n">
        <f aca="false">$F$6*$P15</f>
        <v>0.213</v>
      </c>
      <c r="N15" s="28" t="n">
        <f aca="false">$F$7*$M15</f>
        <v>0.0426</v>
      </c>
      <c r="O15" s="28" t="n">
        <f aca="false">$H15+$J15+$K15+$L15+$M15+$N15</f>
        <v>5.32182186535253</v>
      </c>
      <c r="P15" s="32" t="n">
        <f aca="false">IF($X15&gt;0,ROUNDUP(($H15+$J15+$K15+$L15+$X15)/(1-$F$6*(1+$F$7)),2),ROUNDUP(($H15+$J15+$K15+$L15)/(1-IF($W15="",$F$5,$W15)-$F$6*(1+$F$7)),2))</f>
        <v>7.1</v>
      </c>
      <c r="Q15" s="33" t="n">
        <f aca="false">ROUNDUP($P15*$F$3/$F$12,0)*$F$12</f>
        <v>190000</v>
      </c>
      <c r="R15" s="33" t="n">
        <f aca="false">$E15*$Q15</f>
        <v>60800000</v>
      </c>
      <c r="S15" s="28" t="n">
        <f aca="false">$P15-$O15</f>
        <v>1.77817813464747</v>
      </c>
      <c r="T15" s="34" t="n">
        <f aca="false">IF($P15=0,0,$S15/$P15)</f>
        <v>0.250447624598236</v>
      </c>
      <c r="U15" s="28" t="n">
        <f aca="false">$E15*$S15</f>
        <v>569.017003087191</v>
      </c>
      <c r="V15" s="28" t="n">
        <f aca="false">$E15*$O15</f>
        <v>1702.98299691281</v>
      </c>
      <c r="W15" s="30"/>
      <c r="X15" s="27"/>
    </row>
    <row r="16" customFormat="false" ht="14.25" hidden="false" customHeight="true" outlineLevel="0" collapsed="false">
      <c r="A16" s="25" t="n">
        <v>2</v>
      </c>
      <c r="B16" s="25" t="s">
        <v>200</v>
      </c>
      <c r="C16" s="25" t="s">
        <v>201</v>
      </c>
      <c r="D16" s="25" t="s">
        <v>199</v>
      </c>
      <c r="E16" s="26" t="n">
        <v>160</v>
      </c>
      <c r="F16" s="27" t="n">
        <v>67.2</v>
      </c>
      <c r="G16" s="28" t="n">
        <f aca="false">IF($E16=0,0,$F16/$E16*$F$13)</f>
        <v>0.190512</v>
      </c>
      <c r="H16" s="29" t="n">
        <v>4.68</v>
      </c>
      <c r="I16" s="30" t="n">
        <v>0</v>
      </c>
      <c r="J16" s="31" t="n">
        <f aca="false">$H16*$F$8*($F$9*$F$10/$F$11)+IF($H$31=0,0,'Bank Fee'!$H$8*$H16/$H$31)</f>
        <v>0.0267674716675661</v>
      </c>
      <c r="K16" s="31" t="n">
        <f aca="false">IF($G$31=0,0,(Logistic!$M$5+Logistic!$R$5)*$G16/$G$31)</f>
        <v>0.741882974043115</v>
      </c>
      <c r="L16" s="28" t="n">
        <f aca="false">($H16+$K16)*$I16</f>
        <v>0</v>
      </c>
      <c r="M16" s="28" t="n">
        <f aca="false">$F$6*$P16</f>
        <v>0.2292</v>
      </c>
      <c r="N16" s="28" t="n">
        <f aca="false">$F$7*$M16</f>
        <v>0.04584</v>
      </c>
      <c r="O16" s="28" t="n">
        <f aca="false">$H16+$J16+$K16+$L16+$M16+$N16</f>
        <v>5.72369044571068</v>
      </c>
      <c r="P16" s="32" t="n">
        <f aca="false">IF($X16&gt;0,ROUNDUP(($H16+$J16+$K16+$L16+$X16)/(1-$F$6*(1+$F$7)),2),ROUNDUP(($H16+$J16+$K16+$L16)/(1-IF($W16="",$F$5,$W16)-$F$6*(1+$F$7)),2))</f>
        <v>7.64</v>
      </c>
      <c r="Q16" s="33" t="n">
        <f aca="false">ROUNDUP($P16*$F$3/$F$12,0)*$F$12</f>
        <v>210000</v>
      </c>
      <c r="R16" s="33" t="n">
        <f aca="false">$E16*$Q16</f>
        <v>33600000</v>
      </c>
      <c r="S16" s="28" t="n">
        <f aca="false">$P16-$O16</f>
        <v>1.91630955428932</v>
      </c>
      <c r="T16" s="34" t="n">
        <f aca="false">IF($P16=0,0,$S16/$P16)</f>
        <v>0.250825857891272</v>
      </c>
      <c r="U16" s="28" t="n">
        <f aca="false">$E16*$S16</f>
        <v>306.609528686291</v>
      </c>
      <c r="V16" s="28" t="n">
        <f aca="false">$E16*$O16</f>
        <v>915.790471313709</v>
      </c>
      <c r="W16" s="30"/>
      <c r="X16" s="27"/>
    </row>
    <row r="17" customFormat="false" ht="14.25" hidden="false" customHeight="true" outlineLevel="0" collapsed="false">
      <c r="A17" s="25" t="n">
        <v>3</v>
      </c>
      <c r="B17" s="25" t="s">
        <v>202</v>
      </c>
      <c r="C17" s="25" t="s">
        <v>203</v>
      </c>
      <c r="D17" s="25" t="s">
        <v>199</v>
      </c>
      <c r="E17" s="26" t="n">
        <v>320</v>
      </c>
      <c r="F17" s="27" t="n">
        <v>102.4</v>
      </c>
      <c r="G17" s="28" t="n">
        <f aca="false">IF($E17=0,0,$F17/$E17*$F$13)</f>
        <v>0.145152</v>
      </c>
      <c r="H17" s="29" t="n">
        <v>4.81</v>
      </c>
      <c r="I17" s="30" t="n">
        <v>0</v>
      </c>
      <c r="J17" s="31" t="n">
        <f aca="false">$H17*$F$8*($F$9*$F$10/$F$11)+IF($H$31=0,0,'Bank Fee'!$H$8*$H17/$H$31)</f>
        <v>0.0275110125472207</v>
      </c>
      <c r="K17" s="31" t="n">
        <f aca="false">IF($G$31=0,0,(Logistic!$M$5+Logistic!$R$5)*$G17/$G$31)</f>
        <v>0.565244170699516</v>
      </c>
      <c r="L17" s="28" t="n">
        <f aca="false">($H17+$K17)*$I17</f>
        <v>0</v>
      </c>
      <c r="M17" s="28" t="n">
        <f aca="false">$F$6*$P17</f>
        <v>0.2271</v>
      </c>
      <c r="N17" s="28" t="n">
        <f aca="false">$F$7*$M17</f>
        <v>0.04542</v>
      </c>
      <c r="O17" s="28" t="n">
        <f aca="false">$H17+$J17+$K17+$L17+$M17+$N17</f>
        <v>5.67527518324674</v>
      </c>
      <c r="P17" s="32" t="n">
        <f aca="false">IF($X17&gt;0,ROUNDUP(($H17+$J17+$K17+$L17+$X17)/(1-$F$6*(1+$F$7)),2),ROUNDUP(($H17+$J17+$K17+$L17)/(1-IF($W17="",$F$5,$W17)-$F$6*(1+$F$7)),2))</f>
        <v>7.57</v>
      </c>
      <c r="Q17" s="33" t="n">
        <f aca="false">ROUNDUP($P17*$F$3/$F$12,0)*$F$12</f>
        <v>210000</v>
      </c>
      <c r="R17" s="33" t="n">
        <f aca="false">$E17*$Q17</f>
        <v>67200000</v>
      </c>
      <c r="S17" s="28" t="n">
        <f aca="false">$P17-$O17</f>
        <v>1.89472481675326</v>
      </c>
      <c r="T17" s="34" t="n">
        <f aca="false">IF($P17=0,0,$S17/$P17)</f>
        <v>0.250293899174804</v>
      </c>
      <c r="U17" s="28" t="n">
        <f aca="false">$E17*$S17</f>
        <v>606.311941361045</v>
      </c>
      <c r="V17" s="28" t="n">
        <f aca="false">$E17*$O17</f>
        <v>1816.08805863896</v>
      </c>
      <c r="W17" s="30"/>
      <c r="X17" s="27"/>
    </row>
    <row r="18" customFormat="false" ht="14.25" hidden="false" customHeight="true" outlineLevel="0" collapsed="false">
      <c r="A18" s="25" t="n">
        <v>4</v>
      </c>
      <c r="B18" s="25" t="s">
        <v>204</v>
      </c>
      <c r="C18" s="25" t="s">
        <v>205</v>
      </c>
      <c r="D18" s="25" t="s">
        <v>199</v>
      </c>
      <c r="E18" s="26" t="n">
        <v>160</v>
      </c>
      <c r="F18" s="27" t="n">
        <v>148</v>
      </c>
      <c r="G18" s="28" t="n">
        <f aca="false">IF($E18=0,0,$F18/$E18*$F$13)</f>
        <v>0.41958</v>
      </c>
      <c r="H18" s="29" t="n">
        <v>5.19</v>
      </c>
      <c r="I18" s="30" t="n">
        <v>0</v>
      </c>
      <c r="J18" s="31" t="n">
        <f aca="false">$H18*$F$8*($F$9*$F$10/$F$11)+IF($H$31=0,0,'Bank Fee'!$H$8*$H18/$H$31)</f>
        <v>0.0296844397339034</v>
      </c>
      <c r="K18" s="31" t="n">
        <f aca="false">IF($G$31=0,0,(Logistic!$M$5+Logistic!$R$5)*$G18/$G$31)</f>
        <v>1.63390893092829</v>
      </c>
      <c r="L18" s="28" t="n">
        <f aca="false">($H18+$K18)*$I18</f>
        <v>0</v>
      </c>
      <c r="M18" s="28" t="n">
        <f aca="false">$F$6*$P18</f>
        <v>0.288</v>
      </c>
      <c r="N18" s="28" t="n">
        <f aca="false">$F$7*$M18</f>
        <v>0.0576</v>
      </c>
      <c r="O18" s="28" t="n">
        <f aca="false">$H18+$J18+$K18+$L18+$M18+$N18</f>
        <v>7.19919337066219</v>
      </c>
      <c r="P18" s="32" t="n">
        <f aca="false">IF($X18&gt;0,ROUNDUP(($H18+$J18+$K18+$L18+$X18)/(1-$F$6*(1+$F$7)),2),ROUNDUP(($H18+$J18+$K18+$L18)/(1-IF($W18="",$F$5,$W18)-$F$6*(1+$F$7)),2))</f>
        <v>9.6</v>
      </c>
      <c r="Q18" s="33" t="n">
        <f aca="false">ROUNDUP($P18*$F$3/$F$12,0)*$F$12</f>
        <v>260000</v>
      </c>
      <c r="R18" s="33" t="n">
        <f aca="false">$E18*$Q18</f>
        <v>41600000</v>
      </c>
      <c r="S18" s="28" t="n">
        <f aca="false">$P18-$O18</f>
        <v>2.40080662933781</v>
      </c>
      <c r="T18" s="34" t="n">
        <f aca="false">IF($P18=0,0,$S18/$P18)</f>
        <v>0.250084023889355</v>
      </c>
      <c r="U18" s="28" t="n">
        <f aca="false">$E18*$S18</f>
        <v>384.129060694049</v>
      </c>
      <c r="V18" s="28" t="n">
        <f aca="false">$E18*$O18</f>
        <v>1151.87093930595</v>
      </c>
      <c r="W18" s="30"/>
      <c r="X18" s="27"/>
    </row>
    <row r="19" customFormat="false" ht="14.25" hidden="false" customHeight="true" outlineLevel="0" collapsed="false">
      <c r="A19" s="25" t="n">
        <v>5</v>
      </c>
      <c r="B19" s="25" t="s">
        <v>206</v>
      </c>
      <c r="C19" s="25" t="s">
        <v>207</v>
      </c>
      <c r="D19" s="25" t="s">
        <v>199</v>
      </c>
      <c r="E19" s="26" t="n">
        <v>400</v>
      </c>
      <c r="F19" s="27" t="n">
        <v>148</v>
      </c>
      <c r="G19" s="28" t="n">
        <f aca="false">IF($E19=0,0,$F19/$E19*$F$13)</f>
        <v>0.167832</v>
      </c>
      <c r="H19" s="29" t="n">
        <v>4.37</v>
      </c>
      <c r="I19" s="30" t="n">
        <v>0</v>
      </c>
      <c r="J19" s="31" t="n">
        <f aca="false">$H19*$F$8*($F$9*$F$10/$F$11)+IF($H$31=0,0,'Bank Fee'!$H$8*$H19/$H$31)</f>
        <v>0.0249944126468513</v>
      </c>
      <c r="K19" s="31" t="n">
        <f aca="false">IF($G$31=0,0,(Logistic!$M$5+Logistic!$R$5)*$G19/$G$31)</f>
        <v>0.653563572371316</v>
      </c>
      <c r="L19" s="28" t="n">
        <f aca="false">($H19+$K19)*$I19</f>
        <v>0</v>
      </c>
      <c r="M19" s="28" t="n">
        <f aca="false">$F$6*$P19</f>
        <v>0.2124</v>
      </c>
      <c r="N19" s="28" t="n">
        <f aca="false">$F$7*$M19</f>
        <v>0.04248</v>
      </c>
      <c r="O19" s="28" t="n">
        <f aca="false">$H19+$J19+$K19+$L19+$M19+$N19</f>
        <v>5.30343798501817</v>
      </c>
      <c r="P19" s="32" t="n">
        <f aca="false">IF($X19&gt;0,ROUNDUP(($H19+$J19+$K19+$L19+$X19)/(1-$F$6*(1+$F$7)),2),ROUNDUP(($H19+$J19+$K19+$L19)/(1-IF($W19="",$F$5,$W19)-$F$6*(1+$F$7)),2))</f>
        <v>7.08</v>
      </c>
      <c r="Q19" s="33" t="n">
        <f aca="false">ROUNDUP($P19*$F$3/$F$12,0)*$F$12</f>
        <v>190000</v>
      </c>
      <c r="R19" s="33" t="n">
        <f aca="false">$E19*$Q19</f>
        <v>76000000</v>
      </c>
      <c r="S19" s="28" t="n">
        <f aca="false">$P19-$O19</f>
        <v>1.77656201498183</v>
      </c>
      <c r="T19" s="34" t="n">
        <f aca="false">IF($P19=0,0,$S19/$P19)</f>
        <v>0.25092683827427</v>
      </c>
      <c r="U19" s="28" t="n">
        <f aca="false">$E19*$S19</f>
        <v>710.624805992733</v>
      </c>
      <c r="V19" s="28" t="n">
        <f aca="false">$E19*$O19</f>
        <v>2121.37519400727</v>
      </c>
      <c r="W19" s="30"/>
      <c r="X19" s="27"/>
    </row>
    <row r="20" customFormat="false" ht="14.25" hidden="false" customHeight="true" outlineLevel="0" collapsed="false">
      <c r="A20" s="25" t="n">
        <v>6</v>
      </c>
      <c r="B20" s="25" t="s">
        <v>208</v>
      </c>
      <c r="C20" s="25" t="s">
        <v>209</v>
      </c>
      <c r="D20" s="25" t="s">
        <v>199</v>
      </c>
      <c r="E20" s="26" t="n">
        <v>200</v>
      </c>
      <c r="F20" s="27" t="n">
        <v>185</v>
      </c>
      <c r="G20" s="28" t="n">
        <f aca="false">IF($E20=0,0,$F20/$E20*$F$13)</f>
        <v>0.41958</v>
      </c>
      <c r="H20" s="29" t="n">
        <v>4.68</v>
      </c>
      <c r="I20" s="30" t="n">
        <v>0</v>
      </c>
      <c r="J20" s="31" t="n">
        <f aca="false">$H20*$F$8*($F$9*$F$10/$F$11)+IF($H$31=0,0,'Bank Fee'!$H$8*$H20/$H$31)</f>
        <v>0.0267674716675661</v>
      </c>
      <c r="K20" s="31" t="n">
        <f aca="false">IF($G$31=0,0,(Logistic!$M$5+Logistic!$R$5)*$G20/$G$31)</f>
        <v>1.63390893092829</v>
      </c>
      <c r="L20" s="28" t="n">
        <f aca="false">($H20+$K20)*$I20</f>
        <v>0</v>
      </c>
      <c r="M20" s="28" t="n">
        <f aca="false">$F$6*$P20</f>
        <v>0.2667</v>
      </c>
      <c r="N20" s="28" t="n">
        <f aca="false">$F$7*$M20</f>
        <v>0.05334</v>
      </c>
      <c r="O20" s="28" t="n">
        <f aca="false">$H20+$J20+$K20+$L20+$M20+$N20</f>
        <v>6.66071640259586</v>
      </c>
      <c r="P20" s="32" t="n">
        <f aca="false">IF($X20&gt;0,ROUNDUP(($H20+$J20+$K20+$L20+$X20)/(1-$F$6*(1+$F$7)),2),ROUNDUP(($H20+$J20+$K20+$L20)/(1-IF($W20="",$F$5,$W20)-$F$6*(1+$F$7)),2))</f>
        <v>8.89</v>
      </c>
      <c r="Q20" s="33" t="n">
        <f aca="false">ROUNDUP($P20*$F$3/$F$12,0)*$F$12</f>
        <v>240000</v>
      </c>
      <c r="R20" s="33" t="n">
        <f aca="false">$E20*$Q20</f>
        <v>48000000</v>
      </c>
      <c r="S20" s="28" t="n">
        <f aca="false">$P20-$O20</f>
        <v>2.22928359740415</v>
      </c>
      <c r="T20" s="34" t="n">
        <f aca="false">IF($P20=0,0,$S20/$P20)</f>
        <v>0.250763059325551</v>
      </c>
      <c r="U20" s="28" t="n">
        <f aca="false">$E20*$S20</f>
        <v>445.856719480829</v>
      </c>
      <c r="V20" s="28" t="n">
        <f aca="false">$E20*$O20</f>
        <v>1332.14328051917</v>
      </c>
      <c r="W20" s="30"/>
      <c r="X20" s="27"/>
    </row>
    <row r="21" customFormat="false" ht="14.25" hidden="false" customHeight="true" outlineLevel="0" collapsed="false">
      <c r="A21" s="25" t="n">
        <v>7</v>
      </c>
      <c r="B21" s="25" t="s">
        <v>210</v>
      </c>
      <c r="C21" s="25" t="s">
        <v>211</v>
      </c>
      <c r="D21" s="25" t="s">
        <v>199</v>
      </c>
      <c r="E21" s="26" t="n">
        <v>400</v>
      </c>
      <c r="F21" s="27" t="n">
        <v>304</v>
      </c>
      <c r="G21" s="28" t="n">
        <f aca="false">IF($E21=0,0,$F21/$E21*$F$13)</f>
        <v>0.344736</v>
      </c>
      <c r="H21" s="29" t="n">
        <v>4.37</v>
      </c>
      <c r="I21" s="30" t="n">
        <v>0</v>
      </c>
      <c r="J21" s="31" t="n">
        <f aca="false">$H21*$F$8*($F$9*$F$10/$F$11)+IF($H$31=0,0,'Bank Fee'!$H$8*$H21/$H$31)</f>
        <v>0.0249944126468513</v>
      </c>
      <c r="K21" s="31" t="n">
        <f aca="false">IF($G$31=0,0,(Logistic!$M$5+Logistic!$R$5)*$G21/$G$31)</f>
        <v>1.34245490541135</v>
      </c>
      <c r="L21" s="28" t="n">
        <f aca="false">($H21+$K21)*$I21</f>
        <v>0</v>
      </c>
      <c r="M21" s="28" t="n">
        <f aca="false">$F$6*$P21</f>
        <v>0.2412</v>
      </c>
      <c r="N21" s="28" t="n">
        <f aca="false">$F$7*$M21</f>
        <v>0.04824</v>
      </c>
      <c r="O21" s="28" t="n">
        <f aca="false">$H21+$J21+$K21+$L21+$M21+$N21</f>
        <v>6.0268893180582</v>
      </c>
      <c r="P21" s="32" t="n">
        <f aca="false">IF($X21&gt;0,ROUNDUP(($H21+$J21+$K21+$L21+$X21)/(1-$F$6*(1+$F$7)),2),ROUNDUP(($H21+$J21+$K21+$L21)/(1-IF($W21="",$F$5,$W21)-$F$6*(1+$F$7)),2))</f>
        <v>8.04</v>
      </c>
      <c r="Q21" s="33" t="n">
        <f aca="false">ROUNDUP($P21*$F$3/$F$12,0)*$F$12</f>
        <v>220000</v>
      </c>
      <c r="R21" s="33" t="n">
        <f aca="false">$E21*$Q21</f>
        <v>88000000</v>
      </c>
      <c r="S21" s="28" t="n">
        <f aca="false">$P21-$O21</f>
        <v>2.0131106819418</v>
      </c>
      <c r="T21" s="34" t="n">
        <f aca="false">IF($P21=0,0,$S21/$P21)</f>
        <v>0.25038690073903</v>
      </c>
      <c r="U21" s="28" t="n">
        <f aca="false">$E21*$S21</f>
        <v>805.244272776719</v>
      </c>
      <c r="V21" s="28" t="n">
        <f aca="false">$E21*$O21</f>
        <v>2410.75572722328</v>
      </c>
      <c r="W21" s="30"/>
      <c r="X21" s="27"/>
    </row>
    <row r="22" customFormat="false" ht="14.25" hidden="false" customHeight="true" outlineLevel="0" collapsed="false">
      <c r="A22" s="25" t="n">
        <v>8</v>
      </c>
      <c r="B22" s="25" t="s">
        <v>212</v>
      </c>
      <c r="C22" s="25" t="s">
        <v>213</v>
      </c>
      <c r="D22" s="25" t="s">
        <v>199</v>
      </c>
      <c r="E22" s="26" t="n">
        <v>200</v>
      </c>
      <c r="F22" s="27" t="n">
        <v>150</v>
      </c>
      <c r="G22" s="28" t="n">
        <f aca="false">IF($E22=0,0,$F22/$E22*$F$13)</f>
        <v>0.3402</v>
      </c>
      <c r="H22" s="29" t="n">
        <v>4.68</v>
      </c>
      <c r="I22" s="30" t="n">
        <v>0</v>
      </c>
      <c r="J22" s="31" t="n">
        <f aca="false">$H22*$F$8*($F$9*$F$10/$F$11)+IF($H$31=0,0,'Bank Fee'!$H$8*$H22/$H$31)</f>
        <v>0.0267674716675661</v>
      </c>
      <c r="K22" s="31" t="n">
        <f aca="false">IF($G$31=0,0,(Logistic!$M$5+Logistic!$R$5)*$G22/$G$31)</f>
        <v>1.32479102507699</v>
      </c>
      <c r="L22" s="28" t="n">
        <f aca="false">($H22+$K22)*$I22</f>
        <v>0</v>
      </c>
      <c r="M22" s="28" t="n">
        <f aca="false">$F$6*$P22</f>
        <v>0.2535</v>
      </c>
      <c r="N22" s="28" t="n">
        <f aca="false">$F$7*$M22</f>
        <v>0.0507</v>
      </c>
      <c r="O22" s="28" t="n">
        <f aca="false">$H22+$J22+$K22+$L22+$M22+$N22</f>
        <v>6.33575849674456</v>
      </c>
      <c r="P22" s="32" t="n">
        <f aca="false">IF($X22&gt;0,ROUNDUP(($H22+$J22+$K22+$L22+$X22)/(1-$F$6*(1+$F$7)),2),ROUNDUP(($H22+$J22+$K22+$L22)/(1-IF($W22="",$F$5,$W22)-$F$6*(1+$F$7)),2))</f>
        <v>8.45</v>
      </c>
      <c r="Q22" s="33" t="n">
        <f aca="false">ROUNDUP($P22*$F$3/$F$12,0)*$F$12</f>
        <v>230000</v>
      </c>
      <c r="R22" s="33" t="n">
        <f aca="false">$E22*$Q22</f>
        <v>46000000</v>
      </c>
      <c r="S22" s="28" t="n">
        <f aca="false">$P22-$O22</f>
        <v>2.11424150325544</v>
      </c>
      <c r="T22" s="34" t="n">
        <f aca="false">IF($P22=0,0,$S22/$P22)</f>
        <v>0.250206095059816</v>
      </c>
      <c r="U22" s="28" t="n">
        <f aca="false">$E22*$S22</f>
        <v>422.848300651089</v>
      </c>
      <c r="V22" s="28" t="n">
        <f aca="false">$E22*$O22</f>
        <v>1267.15169934891</v>
      </c>
      <c r="W22" s="30"/>
      <c r="X22" s="27"/>
    </row>
    <row r="23" customFormat="false" ht="14.25" hidden="false" customHeight="true" outlineLevel="0" collapsed="false">
      <c r="A23" s="25" t="n">
        <v>9</v>
      </c>
      <c r="B23" s="25" t="s">
        <v>214</v>
      </c>
      <c r="C23" s="25" t="s">
        <v>215</v>
      </c>
      <c r="D23" s="25" t="s">
        <v>199</v>
      </c>
      <c r="E23" s="26" t="n">
        <v>400</v>
      </c>
      <c r="F23" s="27" t="n">
        <v>248</v>
      </c>
      <c r="G23" s="28" t="n">
        <f aca="false">IF($E23=0,0,$F23/$E23*$F$13)</f>
        <v>0.281232</v>
      </c>
      <c r="H23" s="29" t="n">
        <v>4.55</v>
      </c>
      <c r="I23" s="30" t="n">
        <v>0</v>
      </c>
      <c r="J23" s="31" t="n">
        <f aca="false">$H23*$F$8*($F$9*$F$10/$F$11)+IF($H$31=0,0,'Bank Fee'!$H$8*$H23/$H$31)</f>
        <v>0.0260239307879115</v>
      </c>
      <c r="K23" s="31" t="n">
        <f aca="false">IF($G$31=0,0,(Logistic!$M$5+Logistic!$R$5)*$G23/$G$31)</f>
        <v>1.09516058073031</v>
      </c>
      <c r="L23" s="28" t="n">
        <f aca="false">($H23+$K23)*$I23</f>
        <v>0</v>
      </c>
      <c r="M23" s="28" t="n">
        <f aca="false">$F$6*$P23</f>
        <v>0.2385</v>
      </c>
      <c r="N23" s="28" t="n">
        <f aca="false">$F$7*$M23</f>
        <v>0.0477</v>
      </c>
      <c r="O23" s="28" t="n">
        <f aca="false">$H23+$J23+$K23+$L23+$M23+$N23</f>
        <v>5.95738451151822</v>
      </c>
      <c r="P23" s="32" t="n">
        <f aca="false">IF($X23&gt;0,ROUNDUP(($H23+$J23+$K23+$L23+$X23)/(1-$F$6*(1+$F$7)),2),ROUNDUP(($H23+$J23+$K23+$L23)/(1-IF($W23="",$F$5,$W23)-$F$6*(1+$F$7)),2))</f>
        <v>7.95</v>
      </c>
      <c r="Q23" s="33" t="n">
        <f aca="false">ROUNDUP($P23*$F$3/$F$12,0)*$F$12</f>
        <v>220000</v>
      </c>
      <c r="R23" s="33" t="n">
        <f aca="false">$E23*$Q23</f>
        <v>88000000</v>
      </c>
      <c r="S23" s="28" t="n">
        <f aca="false">$P23-$O23</f>
        <v>1.99261548848178</v>
      </c>
      <c r="T23" s="34" t="n">
        <f aca="false">IF($P23=0,0,$S23/$P23)</f>
        <v>0.250643457670664</v>
      </c>
      <c r="U23" s="28" t="n">
        <f aca="false">$E23*$S23</f>
        <v>797.046195392711</v>
      </c>
      <c r="V23" s="28" t="n">
        <f aca="false">$E23*$O23</f>
        <v>2382.95380460729</v>
      </c>
      <c r="W23" s="30"/>
      <c r="X23" s="27"/>
    </row>
    <row r="24" customFormat="false" ht="14.25" hidden="false" customHeight="true" outlineLevel="0" collapsed="false">
      <c r="A24" s="25" t="n">
        <v>10</v>
      </c>
      <c r="B24" s="25" t="s">
        <v>216</v>
      </c>
      <c r="C24" s="25" t="s">
        <v>217</v>
      </c>
      <c r="D24" s="25" t="s">
        <v>199</v>
      </c>
      <c r="E24" s="26" t="n">
        <v>200</v>
      </c>
      <c r="F24" s="27" t="n">
        <v>128</v>
      </c>
      <c r="G24" s="28" t="n">
        <f aca="false">IF($E24=0,0,$F24/$E24*$F$13)</f>
        <v>0.290304</v>
      </c>
      <c r="H24" s="29" t="n">
        <v>4.73</v>
      </c>
      <c r="I24" s="30" t="n">
        <v>0</v>
      </c>
      <c r="J24" s="31" t="n">
        <f aca="false">$H24*$F$8*($F$9*$F$10/$F$11)+IF($H$31=0,0,'Bank Fee'!$H$8*$H24/$H$31)</f>
        <v>0.0270534489289717</v>
      </c>
      <c r="K24" s="31" t="n">
        <f aca="false">IF($G$31=0,0,(Logistic!$M$5+Logistic!$R$5)*$G24/$G$31)</f>
        <v>1.13048834139903</v>
      </c>
      <c r="L24" s="28" t="n">
        <f aca="false">($H24+$K24)*$I24</f>
        <v>0</v>
      </c>
      <c r="M24" s="28" t="n">
        <f aca="false">$F$6*$P24</f>
        <v>0.2475</v>
      </c>
      <c r="N24" s="28" t="n">
        <f aca="false">$F$7*$M24</f>
        <v>0.0495</v>
      </c>
      <c r="O24" s="28" t="n">
        <f aca="false">$H24+$J24+$K24+$L24+$M24+$N24</f>
        <v>6.184541790328</v>
      </c>
      <c r="P24" s="32" t="n">
        <f aca="false">IF($X24&gt;0,ROUNDUP(($H24+$J24+$K24+$L24+$X24)/(1-$F$6*(1+$F$7)),2),ROUNDUP(($H24+$J24+$K24+$L24)/(1-IF($W24="",$F$5,$W24)-$F$6*(1+$F$7)),2))</f>
        <v>8.25</v>
      </c>
      <c r="Q24" s="33" t="n">
        <f aca="false">ROUNDUP($P24*$F$3/$F$12,0)*$F$12</f>
        <v>220000</v>
      </c>
      <c r="R24" s="33" t="n">
        <f aca="false">$E24*$Q24</f>
        <v>44000000</v>
      </c>
      <c r="S24" s="28" t="n">
        <f aca="false">$P24-$O24</f>
        <v>2.065458209672</v>
      </c>
      <c r="T24" s="34" t="n">
        <f aca="false">IF($P24=0,0,$S24/$P24)</f>
        <v>0.250358570869333</v>
      </c>
      <c r="U24" s="28" t="n">
        <f aca="false">$E24*$S24</f>
        <v>413.091641934399</v>
      </c>
      <c r="V24" s="28" t="n">
        <f aca="false">$E24*$O24</f>
        <v>1236.9083580656</v>
      </c>
      <c r="W24" s="30"/>
      <c r="X24" s="27"/>
    </row>
    <row r="25" customFormat="false" ht="14.25" hidden="false" customHeight="true" outlineLevel="0" collapsed="false">
      <c r="A25" s="25" t="n">
        <v>11</v>
      </c>
      <c r="B25" s="25" t="s">
        <v>218</v>
      </c>
      <c r="C25" s="25" t="s">
        <v>219</v>
      </c>
      <c r="D25" s="25" t="s">
        <v>199</v>
      </c>
      <c r="E25" s="26" t="n">
        <v>400</v>
      </c>
      <c r="F25" s="27" t="n">
        <v>212</v>
      </c>
      <c r="G25" s="28" t="n">
        <f aca="false">IF($E25=0,0,$F25/$E25*$F$13)</f>
        <v>0.240408</v>
      </c>
      <c r="H25" s="29" t="n">
        <v>4.87</v>
      </c>
      <c r="I25" s="30" t="n">
        <v>0</v>
      </c>
      <c r="J25" s="31" t="n">
        <f aca="false">$H25*$F$8*($F$9*$F$10/$F$11)+IF($H$31=0,0,'Bank Fee'!$H$8*$H25/$H$31)</f>
        <v>0.0278541852609075</v>
      </c>
      <c r="K25" s="31" t="n">
        <f aca="false">IF($G$31=0,0,(Logistic!$M$5+Logistic!$R$5)*$G25/$G$31)</f>
        <v>0.936185657721074</v>
      </c>
      <c r="L25" s="28" t="n">
        <f aca="false">($H25+$K25)*$I25</f>
        <v>0</v>
      </c>
      <c r="M25" s="28" t="n">
        <f aca="false">$F$6*$P25</f>
        <v>0.2454</v>
      </c>
      <c r="N25" s="28" t="n">
        <f aca="false">$F$7*$M25</f>
        <v>0.04908</v>
      </c>
      <c r="O25" s="28" t="n">
        <f aca="false">$H25+$J25+$K25+$L25+$M25+$N25</f>
        <v>6.12851984298198</v>
      </c>
      <c r="P25" s="32" t="n">
        <f aca="false">IF($X25&gt;0,ROUNDUP(($H25+$J25+$K25+$L25+$X25)/(1-$F$6*(1+$F$7)),2),ROUNDUP(($H25+$J25+$K25+$L25)/(1-IF($W25="",$F$5,$W25)-$F$6*(1+$F$7)),2))</f>
        <v>8.18</v>
      </c>
      <c r="Q25" s="33" t="n">
        <f aca="false">ROUNDUP($P25*$F$3/$F$12,0)*$F$12</f>
        <v>220000</v>
      </c>
      <c r="R25" s="33" t="n">
        <f aca="false">$E25*$Q25</f>
        <v>88000000</v>
      </c>
      <c r="S25" s="28" t="n">
        <f aca="false">$P25-$O25</f>
        <v>2.05148015701802</v>
      </c>
      <c r="T25" s="34" t="n">
        <f aca="false">IF($P25=0,0,$S25/$P25)</f>
        <v>0.250792195234477</v>
      </c>
      <c r="U25" s="28" t="n">
        <f aca="false">$E25*$S25</f>
        <v>820.592062807207</v>
      </c>
      <c r="V25" s="28" t="n">
        <f aca="false">$E25*$O25</f>
        <v>2451.40793719279</v>
      </c>
      <c r="W25" s="30"/>
      <c r="X25" s="27"/>
    </row>
    <row r="26" customFormat="false" ht="14.25" hidden="false" customHeight="true" outlineLevel="0" collapsed="false">
      <c r="A26" s="25" t="n">
        <v>12</v>
      </c>
      <c r="B26" s="25" t="s">
        <v>220</v>
      </c>
      <c r="C26" s="25" t="s">
        <v>221</v>
      </c>
      <c r="D26" s="25" t="s">
        <v>199</v>
      </c>
      <c r="E26" s="26" t="n">
        <v>200</v>
      </c>
      <c r="F26" s="27" t="n">
        <v>102</v>
      </c>
      <c r="G26" s="28" t="n">
        <f aca="false">IF($E26=0,0,$F26/$E26*$F$13)</f>
        <v>0.231336</v>
      </c>
      <c r="H26" s="29" t="n">
        <v>6.46</v>
      </c>
      <c r="I26" s="30" t="n">
        <v>0</v>
      </c>
      <c r="J26" s="31" t="n">
        <f aca="false">$H26*$F$8*($F$9*$F$10/$F$11)+IF($H$31=0,0,'Bank Fee'!$H$8*$H26/$H$31)</f>
        <v>0.0369482621736062</v>
      </c>
      <c r="K26" s="31" t="n">
        <f aca="false">IF($G$31=0,0,(Logistic!$M$5+Logistic!$R$5)*$G26/$G$31)</f>
        <v>0.900857897052354</v>
      </c>
      <c r="L26" s="28" t="n">
        <f aca="false">($H26+$K26)*$I26</f>
        <v>0</v>
      </c>
      <c r="M26" s="28" t="n">
        <f aca="false">$F$6*$P26</f>
        <v>0.3111</v>
      </c>
      <c r="N26" s="28" t="n">
        <f aca="false">$F$7*$M26</f>
        <v>0.06222</v>
      </c>
      <c r="O26" s="28" t="n">
        <f aca="false">$H26+$J26+$K26+$L26+$M26+$N26</f>
        <v>7.77112615922596</v>
      </c>
      <c r="P26" s="32" t="n">
        <f aca="false">IF($X26&gt;0,ROUNDUP(($H26+$J26+$K26+$L26+$X26)/(1-$F$6*(1+$F$7)),2),ROUNDUP(($H26+$J26+$K26+$L26)/(1-IF($W26="",$F$5,$W26)-$F$6*(1+$F$7)),2))</f>
        <v>10.37</v>
      </c>
      <c r="Q26" s="33" t="n">
        <f aca="false">ROUNDUP($P26*$F$3/$F$12,0)*$F$12</f>
        <v>280000</v>
      </c>
      <c r="R26" s="33" t="n">
        <f aca="false">$E26*$Q26</f>
        <v>56000000</v>
      </c>
      <c r="S26" s="28" t="n">
        <f aca="false">$P26-$O26</f>
        <v>2.59887384077404</v>
      </c>
      <c r="T26" s="34" t="n">
        <f aca="false">IF($P26=0,0,$S26/$P26)</f>
        <v>0.250614642311865</v>
      </c>
      <c r="U26" s="28" t="n">
        <f aca="false">$E26*$S26</f>
        <v>519.774768154808</v>
      </c>
      <c r="V26" s="28" t="n">
        <f aca="false">$E26*$O26</f>
        <v>1554.22523184519</v>
      </c>
      <c r="W26" s="30"/>
      <c r="X26" s="27"/>
    </row>
    <row r="27" customFormat="false" ht="14.25" hidden="false" customHeight="true" outlineLevel="0" collapsed="false">
      <c r="A27" s="25" t="n">
        <v>13</v>
      </c>
      <c r="B27" s="25" t="s">
        <v>222</v>
      </c>
      <c r="C27" s="25" t="s">
        <v>223</v>
      </c>
      <c r="D27" s="25" t="s">
        <v>199</v>
      </c>
      <c r="E27" s="26" t="n">
        <v>240</v>
      </c>
      <c r="F27" s="27" t="n">
        <v>153.6</v>
      </c>
      <c r="G27" s="28" t="n">
        <f aca="false">IF($E27=0,0,$F27/$E27*$F$13)</f>
        <v>0.290304</v>
      </c>
      <c r="H27" s="29" t="n">
        <v>4.87</v>
      </c>
      <c r="I27" s="30" t="n">
        <v>0</v>
      </c>
      <c r="J27" s="31" t="n">
        <f aca="false">$H27*$F$8*($F$9*$F$10/$F$11)+IF($H$31=0,0,'Bank Fee'!$H$8*$H27/$H$31)</f>
        <v>0.0278541852609075</v>
      </c>
      <c r="K27" s="31" t="n">
        <f aca="false">IF($G$31=0,0,(Logistic!$M$5+Logistic!$R$5)*$G27/$G$31)</f>
        <v>1.13048834139903</v>
      </c>
      <c r="L27" s="28" t="n">
        <f aca="false">($H27+$K27)*$I27</f>
        <v>0</v>
      </c>
      <c r="M27" s="28" t="n">
        <f aca="false">$F$6*$P27</f>
        <v>0.2535</v>
      </c>
      <c r="N27" s="28" t="n">
        <f aca="false">$F$7*$M27</f>
        <v>0.0507</v>
      </c>
      <c r="O27" s="28" t="n">
        <f aca="false">$H27+$J27+$K27+$L27+$M27+$N27</f>
        <v>6.33254252665994</v>
      </c>
      <c r="P27" s="32" t="n">
        <f aca="false">IF($X27&gt;0,ROUNDUP(($H27+$J27+$K27+$L27+$X27)/(1-$F$6*(1+$F$7)),2),ROUNDUP(($H27+$J27+$K27+$L27)/(1-IF($W27="",$F$5,$W27)-$F$6*(1+$F$7)),2))</f>
        <v>8.45</v>
      </c>
      <c r="Q27" s="33" t="n">
        <f aca="false">ROUNDUP($P27*$F$3/$F$12,0)*$F$12</f>
        <v>230000</v>
      </c>
      <c r="R27" s="33" t="n">
        <f aca="false">$E27*$Q27</f>
        <v>55200000</v>
      </c>
      <c r="S27" s="28" t="n">
        <f aca="false">$P27-$O27</f>
        <v>2.11745747334006</v>
      </c>
      <c r="T27" s="34" t="n">
        <f aca="false">IF($P27=0,0,$S27/$P27)</f>
        <v>0.25058668323551</v>
      </c>
      <c r="U27" s="28" t="n">
        <f aca="false">$E27*$S27</f>
        <v>508.189793601614</v>
      </c>
      <c r="V27" s="28" t="n">
        <f aca="false">$E27*$O27</f>
        <v>1519.81020639839</v>
      </c>
      <c r="W27" s="30"/>
      <c r="X27" s="27"/>
    </row>
    <row r="28" customFormat="false" ht="14.25" hidden="false" customHeight="true" outlineLevel="0" collapsed="false">
      <c r="A28" s="25" t="n">
        <v>14</v>
      </c>
      <c r="B28" s="25" t="s">
        <v>224</v>
      </c>
      <c r="C28" s="25" t="s">
        <v>225</v>
      </c>
      <c r="D28" s="25" t="s">
        <v>199</v>
      </c>
      <c r="E28" s="26" t="n">
        <v>120</v>
      </c>
      <c r="F28" s="27" t="n">
        <v>76.8</v>
      </c>
      <c r="G28" s="28" t="n">
        <f aca="false">IF($E28=0,0,$F28/$E28*$F$13)</f>
        <v>0.290304</v>
      </c>
      <c r="H28" s="29" t="n">
        <v>5.01</v>
      </c>
      <c r="I28" s="30" t="n">
        <v>0</v>
      </c>
      <c r="J28" s="31" t="n">
        <f aca="false">$H28*$F$8*($F$9*$F$10/$F$11)+IF($H$31=0,0,'Bank Fee'!$H$8*$H28/$H$31)</f>
        <v>0.0286549215928432</v>
      </c>
      <c r="K28" s="31" t="n">
        <f aca="false">IF($G$31=0,0,(Logistic!$M$5+Logistic!$R$5)*$G28/$G$31)</f>
        <v>1.13048834139903</v>
      </c>
      <c r="L28" s="28" t="n">
        <f aca="false">($H28+$K28)*$I28</f>
        <v>0</v>
      </c>
      <c r="M28" s="28" t="n">
        <f aca="false">$F$6*$P28</f>
        <v>0.2595</v>
      </c>
      <c r="N28" s="28" t="n">
        <f aca="false">$F$7*$M28</f>
        <v>0.0519</v>
      </c>
      <c r="O28" s="28" t="n">
        <f aca="false">$H28+$J28+$K28+$L28+$M28+$N28</f>
        <v>6.48054326299188</v>
      </c>
      <c r="P28" s="32" t="n">
        <f aca="false">IF($X28&gt;0,ROUNDUP(($H28+$J28+$K28+$L28+$X28)/(1-$F$6*(1+$F$7)),2),ROUNDUP(($H28+$J28+$K28+$L28)/(1-IF($W28="",$F$5,$W28)-$F$6*(1+$F$7)),2))</f>
        <v>8.65</v>
      </c>
      <c r="Q28" s="33" t="n">
        <f aca="false">ROUNDUP($P28*$F$3/$F$12,0)*$F$12</f>
        <v>230000</v>
      </c>
      <c r="R28" s="33" t="n">
        <f aca="false">$E28*$Q28</f>
        <v>27600000</v>
      </c>
      <c r="S28" s="28" t="n">
        <f aca="false">$P28-$O28</f>
        <v>2.16945673700813</v>
      </c>
      <c r="T28" s="34" t="n">
        <f aca="false">IF($P28=0,0,$S28/$P28)</f>
        <v>0.250804247052962</v>
      </c>
      <c r="U28" s="28" t="n">
        <f aca="false">$E28*$S28</f>
        <v>260.334808440975</v>
      </c>
      <c r="V28" s="28" t="n">
        <f aca="false">$E28*$O28</f>
        <v>777.665191559025</v>
      </c>
      <c r="W28" s="30"/>
      <c r="X28" s="27"/>
    </row>
    <row r="29" customFormat="false" ht="14.25" hidden="false" customHeight="true" outlineLevel="0" collapsed="false">
      <c r="A29" s="25" t="n">
        <v>15</v>
      </c>
      <c r="B29" s="25" t="s">
        <v>197</v>
      </c>
      <c r="C29" s="25" t="s">
        <v>198</v>
      </c>
      <c r="D29" s="25" t="s">
        <v>199</v>
      </c>
      <c r="E29" s="26" t="n">
        <v>240</v>
      </c>
      <c r="F29" s="27" t="n">
        <v>76</v>
      </c>
      <c r="G29" s="28" t="n">
        <f aca="false">IF($E29=0,0,$F29/$E29*$F$13)</f>
        <v>0.14364</v>
      </c>
      <c r="H29" s="29" t="n">
        <v>4.37</v>
      </c>
      <c r="I29" s="30" t="n">
        <v>0</v>
      </c>
      <c r="J29" s="31" t="n">
        <f aca="false">$H29*$F$8*($F$9*$F$10/$F$11)+IF($H$31=0,0,'Bank Fee'!$H$8*$H29/$H$31)</f>
        <v>0.0249944126468513</v>
      </c>
      <c r="K29" s="31" t="n">
        <f aca="false">IF($G$31=0,0,(Logistic!$M$5+Logistic!$R$5)*$G29/$G$31)</f>
        <v>0.559356210588063</v>
      </c>
      <c r="L29" s="28" t="n">
        <f aca="false">($H29+$K29)*$I29</f>
        <v>0</v>
      </c>
      <c r="M29" s="28" t="n">
        <f aca="false">$F$6*$P29</f>
        <v>0.2082</v>
      </c>
      <c r="N29" s="28" t="n">
        <f aca="false">$F$7*$M29</f>
        <v>0.04164</v>
      </c>
      <c r="O29" s="28" t="n">
        <f aca="false">$H29+$J29+$K29+$L29+$M29+$N29</f>
        <v>5.20419062323491</v>
      </c>
      <c r="P29" s="32" t="n">
        <f aca="false">IF($X29&gt;0,ROUNDUP(($H29+$J29+$K29+$L29+$X29)/(1-$F$6*(1+$F$7)),2),ROUNDUP(($H29+$J29+$K29+$L29)/(1-IF($W29="",$F$5,$W29)-$F$6*(1+$F$7)),2))</f>
        <v>6.94</v>
      </c>
      <c r="Q29" s="33" t="n">
        <f aca="false">ROUNDUP($P29*$F$3/$F$12,0)*$F$12</f>
        <v>190000</v>
      </c>
      <c r="R29" s="33" t="n">
        <f aca="false">$E29*$Q29</f>
        <v>45600000</v>
      </c>
      <c r="S29" s="28" t="n">
        <f aca="false">$P29-$O29</f>
        <v>1.73580937676509</v>
      </c>
      <c r="T29" s="34" t="n">
        <f aca="false">IF($P29=0,0,$S29/$P29)</f>
        <v>0.250116624894105</v>
      </c>
      <c r="U29" s="28" t="n">
        <f aca="false">$E29*$S29</f>
        <v>416.594250423621</v>
      </c>
      <c r="V29" s="28" t="n">
        <f aca="false">$E29*$O29</f>
        <v>1249.00574957638</v>
      </c>
      <c r="W29" s="30"/>
      <c r="X29" s="27"/>
    </row>
    <row r="30" customFormat="false" ht="14.25" hidden="false" customHeight="true" outlineLevel="0" collapsed="false">
      <c r="A30" s="25" t="n">
        <v>16</v>
      </c>
      <c r="B30" s="25" t="s">
        <v>200</v>
      </c>
      <c r="C30" s="25" t="s">
        <v>201</v>
      </c>
      <c r="D30" s="25" t="s">
        <v>199</v>
      </c>
      <c r="E30" s="26" t="n">
        <v>120</v>
      </c>
      <c r="F30" s="27" t="n">
        <v>50.4</v>
      </c>
      <c r="G30" s="28" t="n">
        <f aca="false">IF($E30=0,0,$F30/$E30*$F$13)</f>
        <v>0.190512</v>
      </c>
      <c r="H30" s="29" t="n">
        <v>4.68</v>
      </c>
      <c r="I30" s="30" t="n">
        <v>0</v>
      </c>
      <c r="J30" s="31" t="n">
        <f aca="false">$H30*$F$8*($F$9*$F$10/$F$11)+IF($H$31=0,0,'Bank Fee'!$H$8*$H30/$H$31)</f>
        <v>0.0267674716675661</v>
      </c>
      <c r="K30" s="31" t="n">
        <f aca="false">IF($G$31=0,0,(Logistic!$M$5+Logistic!$R$5)*$G30/$G$31)</f>
        <v>0.741882974043115</v>
      </c>
      <c r="L30" s="28" t="n">
        <f aca="false">($H30+$K30)*$I30</f>
        <v>0</v>
      </c>
      <c r="M30" s="28" t="n">
        <f aca="false">$F$6*$P30</f>
        <v>0.2292</v>
      </c>
      <c r="N30" s="28" t="n">
        <f aca="false">$F$7*$M30</f>
        <v>0.04584</v>
      </c>
      <c r="O30" s="28" t="n">
        <f aca="false">$H30+$J30+$K30+$L30+$M30+$N30</f>
        <v>5.72369044571068</v>
      </c>
      <c r="P30" s="32" t="n">
        <f aca="false">IF($X30&gt;0,ROUNDUP(($H30+$J30+$K30+$L30+$X30)/(1-$F$6*(1+$F$7)),2),ROUNDUP(($H30+$J30+$K30+$L30)/(1-IF($W30="",$F$5,$W30)-$F$6*(1+$F$7)),2))</f>
        <v>7.64</v>
      </c>
      <c r="Q30" s="33" t="n">
        <f aca="false">ROUNDUP($P30*$F$3/$F$12,0)*$F$12</f>
        <v>210000</v>
      </c>
      <c r="R30" s="33" t="n">
        <f aca="false">$E30*$Q30</f>
        <v>25200000</v>
      </c>
      <c r="S30" s="28" t="n">
        <f aca="false">$P30-$O30</f>
        <v>1.91630955428932</v>
      </c>
      <c r="T30" s="34" t="n">
        <f aca="false">IF($P30=0,0,$S30/$P30)</f>
        <v>0.250825857891272</v>
      </c>
      <c r="U30" s="28" t="n">
        <f aca="false">$E30*$S30</f>
        <v>229.957146514718</v>
      </c>
      <c r="V30" s="28" t="n">
        <f aca="false">$E30*$O30</f>
        <v>686.842853485282</v>
      </c>
      <c r="W30" s="30"/>
      <c r="X30" s="27"/>
    </row>
    <row r="31" customFormat="false" ht="14.25" hidden="false" customHeight="true" outlineLevel="0" collapsed="false">
      <c r="A31" s="35" t="s">
        <v>226</v>
      </c>
      <c r="B31" s="36"/>
      <c r="C31" s="36"/>
      <c r="D31" s="36"/>
      <c r="E31" s="37" t="n">
        <f aca="false">SUM(E15:E30)</f>
        <v>4080</v>
      </c>
      <c r="F31" s="38" t="n">
        <f aca="false">SUM(F15:F30)</f>
        <v>2273</v>
      </c>
      <c r="G31" s="38" t="n">
        <f aca="false">SUMPRODUCT($E$15:$E$30,G15:G30)</f>
        <v>1031.0328</v>
      </c>
      <c r="H31" s="38" t="n">
        <f aca="false">SUMPRODUCT($E$15:$E$30,H15:H30)</f>
        <v>19271.2</v>
      </c>
      <c r="I31" s="36"/>
      <c r="J31" s="38" t="n">
        <f aca="false">SUMPRODUCT($E$15:$E$30,J15:J30)</f>
        <v>110.2225</v>
      </c>
      <c r="K31" s="38" t="n">
        <f aca="false">SUMPRODUCT($E$15:$E$30,K15:K30)</f>
        <v>4015</v>
      </c>
      <c r="L31" s="38" t="n">
        <f aca="false">SUMPRODUCT($E$15:$E$30,L15:L30)</f>
        <v>0</v>
      </c>
      <c r="M31" s="38" t="n">
        <f aca="false">SUMPRODUCT($E$15:$E$30,M15:M30)</f>
        <v>983.796</v>
      </c>
      <c r="N31" s="38" t="n">
        <f aca="false">SUMPRODUCT($E$15:$E$30,N15:N30)</f>
        <v>196.7592</v>
      </c>
      <c r="O31" s="38" t="n">
        <f aca="false">SUMPRODUCT($E$15:$E$30,O15:O30)</f>
        <v>24576.9777</v>
      </c>
      <c r="P31" s="38" t="n">
        <f aca="false">SUMPRODUCT($E$15:$E$30,P15:P30)</f>
        <v>32793.2</v>
      </c>
      <c r="Q31" s="36"/>
      <c r="R31" s="37" t="n">
        <f aca="false">SUM(R15:R30)</f>
        <v>890800000</v>
      </c>
      <c r="S31" s="36"/>
      <c r="T31" s="39" t="n">
        <f aca="false">IF(P31=0,0,U31/P31)</f>
        <v>0.250546524889306</v>
      </c>
      <c r="U31" s="38" t="n">
        <f aca="false">SUM(U15:U30)</f>
        <v>8216.2223</v>
      </c>
      <c r="V31" s="38" t="n">
        <f aca="false">SUM(V15:V30)</f>
        <v>24576.9777</v>
      </c>
    </row>
    <row r="32" customFormat="false" ht="14.25" hidden="false" customHeight="true" outlineLevel="0" collapsed="false">
      <c r="A32" s="40" t="s">
        <v>227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4" customFormat="false" ht="15" hidden="false" customHeight="true" outlineLevel="0" collapsed="false">
      <c r="A34" s="19" t="s">
        <v>228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customFormat="false" ht="30" hidden="false" customHeight="true" outlineLevel="0" collapsed="false">
      <c r="A35" s="24" t="s">
        <v>187</v>
      </c>
      <c r="B35" s="24" t="s">
        <v>188</v>
      </c>
      <c r="C35" s="24" t="s">
        <v>189</v>
      </c>
      <c r="D35" s="24" t="s">
        <v>190</v>
      </c>
      <c r="E35" s="24" t="s">
        <v>191</v>
      </c>
      <c r="F35" s="24" t="s">
        <v>192</v>
      </c>
      <c r="G35" s="24" t="s">
        <v>114</v>
      </c>
      <c r="H35" s="24" t="s">
        <v>193</v>
      </c>
      <c r="I35" s="24" t="s">
        <v>194</v>
      </c>
      <c r="J35" s="24" t="s">
        <v>62</v>
      </c>
      <c r="K35" s="24" t="s">
        <v>65</v>
      </c>
      <c r="L35" s="24" t="s">
        <v>68</v>
      </c>
      <c r="M35" s="24" t="s">
        <v>74</v>
      </c>
      <c r="N35" s="24" t="s">
        <v>77</v>
      </c>
      <c r="O35" s="24" t="s">
        <v>80</v>
      </c>
      <c r="P35" s="24" t="s">
        <v>71</v>
      </c>
      <c r="Q35" s="24" t="s">
        <v>83</v>
      </c>
      <c r="R35" s="24" t="s">
        <v>86</v>
      </c>
      <c r="S35" s="24" t="s">
        <v>89</v>
      </c>
      <c r="T35" s="24" t="s">
        <v>92</v>
      </c>
      <c r="U35" s="24" t="s">
        <v>195</v>
      </c>
      <c r="V35" s="24" t="s">
        <v>196</v>
      </c>
      <c r="W35" s="24" t="s">
        <v>148</v>
      </c>
      <c r="X35" s="24" t="s">
        <v>151</v>
      </c>
    </row>
    <row r="36" customFormat="false" ht="14.25" hidden="false" customHeight="true" outlineLevel="0" collapsed="false">
      <c r="A36" s="25" t="n">
        <v>1</v>
      </c>
      <c r="B36" s="25" t="s">
        <v>197</v>
      </c>
      <c r="C36" s="25" t="s">
        <v>198</v>
      </c>
      <c r="D36" s="25" t="s">
        <v>199</v>
      </c>
      <c r="E36" s="26" t="n">
        <v>320</v>
      </c>
      <c r="F36" s="27" t="n">
        <v>121.6</v>
      </c>
      <c r="G36" s="28" t="n">
        <f aca="false">IF($E36=0,0,$F36/$E36*$F$13)</f>
        <v>0.172368</v>
      </c>
      <c r="H36" s="29" t="n">
        <v>4.37</v>
      </c>
      <c r="I36" s="30" t="n">
        <v>0</v>
      </c>
      <c r="J36" s="31" t="n">
        <f aca="false">$H36*$F$8*($F$9*$F$10/$F$11)+IF($H$52=0,0,'Bank Fee'!$H$8*$H36/$H$52)</f>
        <v>0.0249944126468513</v>
      </c>
      <c r="K36" s="31" t="n">
        <f aca="false">IF($G$52=0,0,(Logistic!$M$6+Logistic!$R$6)*$G36/$G$52)</f>
        <v>0.178046634403872</v>
      </c>
      <c r="L36" s="28" t="n">
        <f aca="false">($H36+$K36)*$I36</f>
        <v>0</v>
      </c>
      <c r="M36" s="28" t="n">
        <f aca="false">$F$6*$P36</f>
        <v>0.1923</v>
      </c>
      <c r="N36" s="28" t="n">
        <f aca="false">$F$7*$M36</f>
        <v>0.03846</v>
      </c>
      <c r="O36" s="28" t="n">
        <f aca="false">$H36+$J36+$K36+$L36+$M36+$N36</f>
        <v>4.80380104705072</v>
      </c>
      <c r="P36" s="32" t="n">
        <f aca="false">IF($X36&gt;0,ROUNDUP(($H36+$J36+$K36+$L36+$X36)/(1-$F$6*(1+$F$7)),2),ROUNDUP(($H36+$J36+$K36+$L36)/(1-IF($W36="",$F$5,$W36)-$F$6*(1+$F$7)),2))</f>
        <v>6.41</v>
      </c>
      <c r="Q36" s="33" t="n">
        <f aca="false">ROUNDUP($P36*$F$3/$F$12,0)*$F$12</f>
        <v>170000</v>
      </c>
      <c r="R36" s="33" t="n">
        <f aca="false">$E36*$Q36</f>
        <v>54400000</v>
      </c>
      <c r="S36" s="28" t="n">
        <f aca="false">$P36-$O36</f>
        <v>1.60619895294928</v>
      </c>
      <c r="T36" s="34" t="n">
        <f aca="false">IF($P36=0,0,$S36/$P36)</f>
        <v>0.250577059742477</v>
      </c>
      <c r="U36" s="28" t="n">
        <f aca="false">$E36*$S36</f>
        <v>513.983664943769</v>
      </c>
      <c r="V36" s="28" t="n">
        <f aca="false">$E36*$O36</f>
        <v>1537.21633505623</v>
      </c>
      <c r="W36" s="30"/>
      <c r="X36" s="27"/>
    </row>
    <row r="37" customFormat="false" ht="14.25" hidden="false" customHeight="true" outlineLevel="0" collapsed="false">
      <c r="A37" s="25" t="n">
        <v>2</v>
      </c>
      <c r="B37" s="25" t="s">
        <v>200</v>
      </c>
      <c r="C37" s="25" t="s">
        <v>201</v>
      </c>
      <c r="D37" s="25" t="s">
        <v>199</v>
      </c>
      <c r="E37" s="26" t="n">
        <v>160</v>
      </c>
      <c r="F37" s="27" t="n">
        <v>67.2</v>
      </c>
      <c r="G37" s="28" t="n">
        <f aca="false">IF($E37=0,0,$F37/$E37*$F$13)</f>
        <v>0.190512</v>
      </c>
      <c r="H37" s="29" t="n">
        <v>4.68</v>
      </c>
      <c r="I37" s="30" t="n">
        <v>0</v>
      </c>
      <c r="J37" s="31" t="n">
        <f aca="false">$H37*$F$8*($F$9*$F$10/$F$11)+IF($H$52=0,0,'Bank Fee'!$H$8*$H37/$H$52)</f>
        <v>0.0267674716675661</v>
      </c>
      <c r="K37" s="31" t="n">
        <f aca="false">IF($G$52=0,0,(Logistic!$M$6+Logistic!$R$6)*$G37/$G$52)</f>
        <v>0.196788385393753</v>
      </c>
      <c r="L37" s="28" t="n">
        <f aca="false">($H37+$K37)*$I37</f>
        <v>0</v>
      </c>
      <c r="M37" s="28" t="n">
        <f aca="false">$F$6*$P37</f>
        <v>0.2061</v>
      </c>
      <c r="N37" s="28" t="n">
        <f aca="false">$F$7*$M37</f>
        <v>0.04122</v>
      </c>
      <c r="O37" s="28" t="n">
        <f aca="false">$H37+$J37+$K37+$L37+$M37+$N37</f>
        <v>5.15087585706132</v>
      </c>
      <c r="P37" s="32" t="n">
        <f aca="false">IF($X37&gt;0,ROUNDUP(($H37+$J37+$K37+$L37+$X37)/(1-$F$6*(1+$F$7)),2),ROUNDUP(($H37+$J37+$K37+$L37)/(1-IF($W37="",$F$5,$W37)-$F$6*(1+$F$7)),2))</f>
        <v>6.87</v>
      </c>
      <c r="Q37" s="33" t="n">
        <f aca="false">ROUNDUP($P37*$F$3/$F$12,0)*$F$12</f>
        <v>190000</v>
      </c>
      <c r="R37" s="33" t="n">
        <f aca="false">$E37*$Q37</f>
        <v>30400000</v>
      </c>
      <c r="S37" s="28" t="n">
        <f aca="false">$P37-$O37</f>
        <v>1.71912414293868</v>
      </c>
      <c r="T37" s="34" t="n">
        <f aca="false">IF($P37=0,0,$S37/$P37)</f>
        <v>0.250236410908105</v>
      </c>
      <c r="U37" s="28" t="n">
        <f aca="false">$E37*$S37</f>
        <v>275.059862870189</v>
      </c>
      <c r="V37" s="28" t="n">
        <f aca="false">$E37*$O37</f>
        <v>824.140137129811</v>
      </c>
      <c r="W37" s="30"/>
      <c r="X37" s="27"/>
    </row>
    <row r="38" customFormat="false" ht="14.25" hidden="false" customHeight="true" outlineLevel="0" collapsed="false">
      <c r="A38" s="25" t="n">
        <v>3</v>
      </c>
      <c r="B38" s="25" t="s">
        <v>202</v>
      </c>
      <c r="C38" s="25" t="s">
        <v>203</v>
      </c>
      <c r="D38" s="25" t="s">
        <v>199</v>
      </c>
      <c r="E38" s="26" t="n">
        <v>320</v>
      </c>
      <c r="F38" s="27" t="n">
        <v>102.4</v>
      </c>
      <c r="G38" s="28" t="n">
        <f aca="false">IF($E38=0,0,$F38/$E38*$F$13)</f>
        <v>0.145152</v>
      </c>
      <c r="H38" s="29" t="n">
        <v>4.81</v>
      </c>
      <c r="I38" s="30" t="n">
        <v>0</v>
      </c>
      <c r="J38" s="31" t="n">
        <f aca="false">$H38*$F$8*($F$9*$F$10/$F$11)+IF($H$52=0,0,'Bank Fee'!$H$8*$H38/$H$52)</f>
        <v>0.0275110125472207</v>
      </c>
      <c r="K38" s="31" t="n">
        <f aca="false">IF($G$52=0,0,(Logistic!$M$6+Logistic!$R$6)*$G38/$G$52)</f>
        <v>0.14993400791905</v>
      </c>
      <c r="L38" s="28" t="n">
        <f aca="false">($H38+$K38)*$I38</f>
        <v>0</v>
      </c>
      <c r="M38" s="28" t="n">
        <f aca="false">$F$6*$P38</f>
        <v>0.2097</v>
      </c>
      <c r="N38" s="28" t="n">
        <f aca="false">$F$7*$M38</f>
        <v>0.04194</v>
      </c>
      <c r="O38" s="28" t="n">
        <f aca="false">$H38+$J38+$K38+$L38+$M38+$N38</f>
        <v>5.23908502046627</v>
      </c>
      <c r="P38" s="32" t="n">
        <f aca="false">IF($X38&gt;0,ROUNDUP(($H38+$J38+$K38+$L38+$X38)/(1-$F$6*(1+$F$7)),2),ROUNDUP(($H38+$J38+$K38+$L38)/(1-IF($W38="",$F$5,$W38)-$F$6*(1+$F$7)),2))</f>
        <v>6.99</v>
      </c>
      <c r="Q38" s="33" t="n">
        <f aca="false">ROUNDUP($P38*$F$3/$F$12,0)*$F$12</f>
        <v>190000</v>
      </c>
      <c r="R38" s="33" t="n">
        <f aca="false">$E38*$Q38</f>
        <v>60800000</v>
      </c>
      <c r="S38" s="28" t="n">
        <f aca="false">$P38-$O38</f>
        <v>1.75091497953373</v>
      </c>
      <c r="T38" s="34" t="n">
        <f aca="false">IF($P38=0,0,$S38/$P38)</f>
        <v>0.250488552150748</v>
      </c>
      <c r="U38" s="28" t="n">
        <f aca="false">$E38*$S38</f>
        <v>560.292793450794</v>
      </c>
      <c r="V38" s="28" t="n">
        <f aca="false">$E38*$O38</f>
        <v>1676.50720654921</v>
      </c>
      <c r="W38" s="30"/>
      <c r="X38" s="27"/>
    </row>
    <row r="39" customFormat="false" ht="14.25" hidden="false" customHeight="true" outlineLevel="0" collapsed="false">
      <c r="A39" s="25" t="n">
        <v>4</v>
      </c>
      <c r="B39" s="25" t="s">
        <v>204</v>
      </c>
      <c r="C39" s="25" t="s">
        <v>205</v>
      </c>
      <c r="D39" s="25" t="s">
        <v>199</v>
      </c>
      <c r="E39" s="26" t="n">
        <v>160</v>
      </c>
      <c r="F39" s="27" t="n">
        <v>148</v>
      </c>
      <c r="G39" s="28" t="n">
        <f aca="false">IF($E39=0,0,$F39/$E39*$F$13)</f>
        <v>0.41958</v>
      </c>
      <c r="H39" s="29" t="n">
        <v>5.19</v>
      </c>
      <c r="I39" s="30" t="n">
        <v>0</v>
      </c>
      <c r="J39" s="31" t="n">
        <f aca="false">$H39*$F$8*($F$9*$F$10/$F$11)+IF($H$52=0,0,'Bank Fee'!$H$8*$H39/$H$52)</f>
        <v>0.0296844397339034</v>
      </c>
      <c r="K39" s="31" t="n">
        <f aca="false">IF($G$52=0,0,(Logistic!$M$6+Logistic!$R$6)*$G39/$G$52)</f>
        <v>0.433402991641003</v>
      </c>
      <c r="L39" s="28" t="n">
        <f aca="false">($H39+$K39)*$I39</f>
        <v>0</v>
      </c>
      <c r="M39" s="28" t="n">
        <f aca="false">$F$6*$P39</f>
        <v>0.2376</v>
      </c>
      <c r="N39" s="28" t="n">
        <f aca="false">$F$7*$M39</f>
        <v>0.04752</v>
      </c>
      <c r="O39" s="28" t="n">
        <f aca="false">$H39+$J39+$K39+$L39+$M39+$N39</f>
        <v>5.93820743137491</v>
      </c>
      <c r="P39" s="32" t="n">
        <f aca="false">IF($X39&gt;0,ROUNDUP(($H39+$J39+$K39+$L39+$X39)/(1-$F$6*(1+$F$7)),2),ROUNDUP(($H39+$J39+$K39+$L39)/(1-IF($W39="",$F$5,$W39)-$F$6*(1+$F$7)),2))</f>
        <v>7.92</v>
      </c>
      <c r="Q39" s="33" t="n">
        <f aca="false">ROUNDUP($P39*$F$3/$F$12,0)*$F$12</f>
        <v>210000</v>
      </c>
      <c r="R39" s="33" t="n">
        <f aca="false">$E39*$Q39</f>
        <v>33600000</v>
      </c>
      <c r="S39" s="28" t="n">
        <f aca="false">$P39-$O39</f>
        <v>1.98179256862509</v>
      </c>
      <c r="T39" s="34" t="n">
        <f aca="false">IF($P39=0,0,$S39/$P39)</f>
        <v>0.25022633442236</v>
      </c>
      <c r="U39" s="28" t="n">
        <f aca="false">$E39*$S39</f>
        <v>317.086810980015</v>
      </c>
      <c r="V39" s="28" t="n">
        <f aca="false">$E39*$O39</f>
        <v>950.113189019985</v>
      </c>
      <c r="W39" s="30"/>
      <c r="X39" s="27"/>
    </row>
    <row r="40" customFormat="false" ht="14.25" hidden="false" customHeight="true" outlineLevel="0" collapsed="false">
      <c r="A40" s="25" t="n">
        <v>5</v>
      </c>
      <c r="B40" s="25" t="s">
        <v>206</v>
      </c>
      <c r="C40" s="25" t="s">
        <v>207</v>
      </c>
      <c r="D40" s="25" t="s">
        <v>199</v>
      </c>
      <c r="E40" s="26" t="n">
        <v>400</v>
      </c>
      <c r="F40" s="27" t="n">
        <v>148</v>
      </c>
      <c r="G40" s="28" t="n">
        <f aca="false">IF($E40=0,0,$F40/$E40*$F$13)</f>
        <v>0.167832</v>
      </c>
      <c r="H40" s="29" t="n">
        <v>4.37</v>
      </c>
      <c r="I40" s="30" t="n">
        <v>0</v>
      </c>
      <c r="J40" s="31" t="n">
        <f aca="false">$H40*$F$8*($F$9*$F$10/$F$11)+IF($H$52=0,0,'Bank Fee'!$H$8*$H40/$H$52)</f>
        <v>0.0249944126468513</v>
      </c>
      <c r="K40" s="31" t="n">
        <f aca="false">IF($G$52=0,0,(Logistic!$M$6+Logistic!$R$6)*$G40/$G$52)</f>
        <v>0.173361196656401</v>
      </c>
      <c r="L40" s="28" t="n">
        <f aca="false">($H40+$K40)*$I40</f>
        <v>0</v>
      </c>
      <c r="M40" s="28" t="n">
        <f aca="false">$F$6*$P40</f>
        <v>0.192</v>
      </c>
      <c r="N40" s="28" t="n">
        <f aca="false">$F$7*$M40</f>
        <v>0.0384</v>
      </c>
      <c r="O40" s="28" t="n">
        <f aca="false">$H40+$J40+$K40+$L40+$M40+$N40</f>
        <v>4.79875560930325</v>
      </c>
      <c r="P40" s="32" t="n">
        <f aca="false">IF($X40&gt;0,ROUNDUP(($H40+$J40+$K40+$L40+$X40)/(1-$F$6*(1+$F$7)),2),ROUNDUP(($H40+$J40+$K40+$L40)/(1-IF($W40="",$F$5,$W40)-$F$6*(1+$F$7)),2))</f>
        <v>6.4</v>
      </c>
      <c r="Q40" s="33" t="n">
        <f aca="false">ROUNDUP($P40*$F$3/$F$12,0)*$F$12</f>
        <v>170000</v>
      </c>
      <c r="R40" s="33" t="n">
        <f aca="false">$E40*$Q40</f>
        <v>68000000</v>
      </c>
      <c r="S40" s="28" t="n">
        <f aca="false">$P40-$O40</f>
        <v>1.60124439069675</v>
      </c>
      <c r="T40" s="34" t="n">
        <f aca="false">IF($P40=0,0,$S40/$P40)</f>
        <v>0.250194436046367</v>
      </c>
      <c r="U40" s="28" t="n">
        <f aca="false">$E40*$S40</f>
        <v>640.497756278699</v>
      </c>
      <c r="V40" s="28" t="n">
        <f aca="false">$E40*$O40</f>
        <v>1919.5022437213</v>
      </c>
      <c r="W40" s="30"/>
      <c r="X40" s="27"/>
    </row>
    <row r="41" customFormat="false" ht="14.25" hidden="false" customHeight="true" outlineLevel="0" collapsed="false">
      <c r="A41" s="25" t="n">
        <v>6</v>
      </c>
      <c r="B41" s="25" t="s">
        <v>208</v>
      </c>
      <c r="C41" s="25" t="s">
        <v>209</v>
      </c>
      <c r="D41" s="25" t="s">
        <v>199</v>
      </c>
      <c r="E41" s="26" t="n">
        <v>200</v>
      </c>
      <c r="F41" s="27" t="n">
        <v>185</v>
      </c>
      <c r="G41" s="28" t="n">
        <f aca="false">IF($E41=0,0,$F41/$E41*$F$13)</f>
        <v>0.41958</v>
      </c>
      <c r="H41" s="29" t="n">
        <v>4.68</v>
      </c>
      <c r="I41" s="30" t="n">
        <v>0</v>
      </c>
      <c r="J41" s="31" t="n">
        <f aca="false">$H41*$F$8*($F$9*$F$10/$F$11)+IF($H$52=0,0,'Bank Fee'!$H$8*$H41/$H$52)</f>
        <v>0.0267674716675661</v>
      </c>
      <c r="K41" s="31" t="n">
        <f aca="false">IF($G$52=0,0,(Logistic!$M$6+Logistic!$R$6)*$G41/$G$52)</f>
        <v>0.433402991641003</v>
      </c>
      <c r="L41" s="28" t="n">
        <f aca="false">($H41+$K41)*$I41</f>
        <v>0</v>
      </c>
      <c r="M41" s="28" t="n">
        <f aca="false">$F$6*$P41</f>
        <v>0.216</v>
      </c>
      <c r="N41" s="28" t="n">
        <f aca="false">$F$7*$M41</f>
        <v>0.0432</v>
      </c>
      <c r="O41" s="28" t="n">
        <f aca="false">$H41+$J41+$K41+$L41+$M41+$N41</f>
        <v>5.39937046330857</v>
      </c>
      <c r="P41" s="32" t="n">
        <f aca="false">IF($X41&gt;0,ROUNDUP(($H41+$J41+$K41+$L41+$X41)/(1-$F$6*(1+$F$7)),2),ROUNDUP(($H41+$J41+$K41+$L41)/(1-IF($W41="",$F$5,$W41)-$F$6*(1+$F$7)),2))</f>
        <v>7.2</v>
      </c>
      <c r="Q41" s="33" t="n">
        <f aca="false">ROUNDUP($P41*$F$3/$F$12,0)*$F$12</f>
        <v>200000</v>
      </c>
      <c r="R41" s="33" t="n">
        <f aca="false">$E41*$Q41</f>
        <v>40000000</v>
      </c>
      <c r="S41" s="28" t="n">
        <f aca="false">$P41-$O41</f>
        <v>1.80062953669143</v>
      </c>
      <c r="T41" s="34" t="n">
        <f aca="false">IF($P41=0,0,$S41/$P41)</f>
        <v>0.250087435651588</v>
      </c>
      <c r="U41" s="28" t="n">
        <f aca="false">$E41*$S41</f>
        <v>360.125907338286</v>
      </c>
      <c r="V41" s="28" t="n">
        <f aca="false">$E41*$O41</f>
        <v>1079.87409266171</v>
      </c>
      <c r="W41" s="30"/>
      <c r="X41" s="27"/>
    </row>
    <row r="42" customFormat="false" ht="14.25" hidden="false" customHeight="true" outlineLevel="0" collapsed="false">
      <c r="A42" s="25" t="n">
        <v>7</v>
      </c>
      <c r="B42" s="25" t="s">
        <v>210</v>
      </c>
      <c r="C42" s="25" t="s">
        <v>211</v>
      </c>
      <c r="D42" s="25" t="s">
        <v>199</v>
      </c>
      <c r="E42" s="26" t="n">
        <v>400</v>
      </c>
      <c r="F42" s="27" t="n">
        <v>304</v>
      </c>
      <c r="G42" s="28" t="n">
        <f aca="false">IF($E42=0,0,$F42/$E42*$F$13)</f>
        <v>0.344736</v>
      </c>
      <c r="H42" s="29" t="n">
        <v>4.37</v>
      </c>
      <c r="I42" s="30" t="n">
        <v>0</v>
      </c>
      <c r="J42" s="31" t="n">
        <f aca="false">$H42*$F$8*($F$9*$F$10/$F$11)+IF($H$52=0,0,'Bank Fee'!$H$8*$H42/$H$52)</f>
        <v>0.0249944126468513</v>
      </c>
      <c r="K42" s="31" t="n">
        <f aca="false">IF($G$52=0,0,(Logistic!$M$6+Logistic!$R$6)*$G42/$G$52)</f>
        <v>0.356093268807743</v>
      </c>
      <c r="L42" s="28" t="n">
        <f aca="false">($H42+$K42)*$I42</f>
        <v>0</v>
      </c>
      <c r="M42" s="28" t="n">
        <f aca="false">$F$6*$P42</f>
        <v>0.1998</v>
      </c>
      <c r="N42" s="28" t="n">
        <f aca="false">$F$7*$M42</f>
        <v>0.03996</v>
      </c>
      <c r="O42" s="28" t="n">
        <f aca="false">$H42+$J42+$K42+$L42+$M42+$N42</f>
        <v>4.99084768145459</v>
      </c>
      <c r="P42" s="32" t="n">
        <f aca="false">IF($X42&gt;0,ROUNDUP(($H42+$J42+$K42+$L42+$X42)/(1-$F$6*(1+$F$7)),2),ROUNDUP(($H42+$J42+$K42+$L42)/(1-IF($W42="",$F$5,$W42)-$F$6*(1+$F$7)),2))</f>
        <v>6.66</v>
      </c>
      <c r="Q42" s="33" t="n">
        <f aca="false">ROUNDUP($P42*$F$3/$F$12,0)*$F$12</f>
        <v>180000</v>
      </c>
      <c r="R42" s="33" t="n">
        <f aca="false">$E42*$Q42</f>
        <v>72000000</v>
      </c>
      <c r="S42" s="28" t="n">
        <f aca="false">$P42-$O42</f>
        <v>1.66915231854541</v>
      </c>
      <c r="T42" s="34" t="n">
        <f aca="false">IF($P42=0,0,$S42/$P42)</f>
        <v>0.250623471253064</v>
      </c>
      <c r="U42" s="28" t="n">
        <f aca="false">$E42*$S42</f>
        <v>667.660927418163</v>
      </c>
      <c r="V42" s="28" t="n">
        <f aca="false">$E42*$O42</f>
        <v>1996.33907258184</v>
      </c>
      <c r="W42" s="30"/>
      <c r="X42" s="27"/>
    </row>
    <row r="43" customFormat="false" ht="14.25" hidden="false" customHeight="true" outlineLevel="0" collapsed="false">
      <c r="A43" s="25" t="n">
        <v>8</v>
      </c>
      <c r="B43" s="25" t="s">
        <v>212</v>
      </c>
      <c r="C43" s="25" t="s">
        <v>213</v>
      </c>
      <c r="D43" s="25" t="s">
        <v>199</v>
      </c>
      <c r="E43" s="26" t="n">
        <v>200</v>
      </c>
      <c r="F43" s="27" t="n">
        <v>150</v>
      </c>
      <c r="G43" s="28" t="n">
        <f aca="false">IF($E43=0,0,$F43/$E43*$F$13)</f>
        <v>0.3402</v>
      </c>
      <c r="H43" s="29" t="n">
        <v>4.68</v>
      </c>
      <c r="I43" s="30" t="n">
        <v>0</v>
      </c>
      <c r="J43" s="31" t="n">
        <f aca="false">$H43*$F$8*($F$9*$F$10/$F$11)+IF($H$52=0,0,'Bank Fee'!$H$8*$H43/$H$52)</f>
        <v>0.0267674716675661</v>
      </c>
      <c r="K43" s="31" t="n">
        <f aca="false">IF($G$52=0,0,(Logistic!$M$6+Logistic!$R$6)*$G43/$G$52)</f>
        <v>0.351407831060273</v>
      </c>
      <c r="L43" s="28" t="n">
        <f aca="false">($H43+$K43)*$I43</f>
        <v>0</v>
      </c>
      <c r="M43" s="28" t="n">
        <f aca="false">$F$6*$P43</f>
        <v>0.2127</v>
      </c>
      <c r="N43" s="28" t="n">
        <f aca="false">$F$7*$M43</f>
        <v>0.04254</v>
      </c>
      <c r="O43" s="28" t="n">
        <f aca="false">$H43+$J43+$K43+$L43+$M43+$N43</f>
        <v>5.31341530272784</v>
      </c>
      <c r="P43" s="32" t="n">
        <f aca="false">IF($X43&gt;0,ROUNDUP(($H43+$J43+$K43+$L43+$X43)/(1-$F$6*(1+$F$7)),2),ROUNDUP(($H43+$J43+$K43+$L43)/(1-IF($W43="",$F$5,$W43)-$F$6*(1+$F$7)),2))</f>
        <v>7.09</v>
      </c>
      <c r="Q43" s="33" t="n">
        <f aca="false">ROUNDUP($P43*$F$3/$F$12,0)*$F$12</f>
        <v>190000</v>
      </c>
      <c r="R43" s="33" t="n">
        <f aca="false">$E43*$Q43</f>
        <v>38000000</v>
      </c>
      <c r="S43" s="28" t="n">
        <f aca="false">$P43-$O43</f>
        <v>1.77658469727216</v>
      </c>
      <c r="T43" s="34" t="n">
        <f aca="false">IF($P43=0,0,$S43/$P43)</f>
        <v>0.250576120912858</v>
      </c>
      <c r="U43" s="28" t="n">
        <f aca="false">$E43*$S43</f>
        <v>355.316939454432</v>
      </c>
      <c r="V43" s="28" t="n">
        <f aca="false">$E43*$O43</f>
        <v>1062.68306054557</v>
      </c>
      <c r="W43" s="30"/>
      <c r="X43" s="27"/>
    </row>
    <row r="44" customFormat="false" ht="14.25" hidden="false" customHeight="true" outlineLevel="0" collapsed="false">
      <c r="A44" s="25" t="n">
        <v>9</v>
      </c>
      <c r="B44" s="25" t="s">
        <v>214</v>
      </c>
      <c r="C44" s="25" t="s">
        <v>215</v>
      </c>
      <c r="D44" s="25" t="s">
        <v>199</v>
      </c>
      <c r="E44" s="26" t="n">
        <v>400</v>
      </c>
      <c r="F44" s="27" t="n">
        <v>248</v>
      </c>
      <c r="G44" s="28" t="n">
        <f aca="false">IF($E44=0,0,$F44/$E44*$F$13)</f>
        <v>0.281232</v>
      </c>
      <c r="H44" s="29" t="n">
        <v>4.55</v>
      </c>
      <c r="I44" s="30" t="n">
        <v>0</v>
      </c>
      <c r="J44" s="31" t="n">
        <f aca="false">$H44*$F$8*($F$9*$F$10/$F$11)+IF($H$52=0,0,'Bank Fee'!$H$8*$H44/$H$52)</f>
        <v>0.0260239307879115</v>
      </c>
      <c r="K44" s="31" t="n">
        <f aca="false">IF($G$52=0,0,(Logistic!$M$6+Logistic!$R$6)*$G44/$G$52)</f>
        <v>0.290497140343159</v>
      </c>
      <c r="L44" s="28" t="n">
        <f aca="false">($H44+$K44)*$I44</f>
        <v>0</v>
      </c>
      <c r="M44" s="28" t="n">
        <f aca="false">$F$6*$P44</f>
        <v>0.2046</v>
      </c>
      <c r="N44" s="28" t="n">
        <f aca="false">$F$7*$M44</f>
        <v>0.04092</v>
      </c>
      <c r="O44" s="28" t="n">
        <f aca="false">$H44+$J44+$K44+$L44+$M44+$N44</f>
        <v>5.11204107113107</v>
      </c>
      <c r="P44" s="32" t="n">
        <f aca="false">IF($X44&gt;0,ROUNDUP(($H44+$J44+$K44+$L44+$X44)/(1-$F$6*(1+$F$7)),2),ROUNDUP(($H44+$J44+$K44+$L44)/(1-IF($W44="",$F$5,$W44)-$F$6*(1+$F$7)),2))</f>
        <v>6.82</v>
      </c>
      <c r="Q44" s="33" t="n">
        <f aca="false">ROUNDUP($P44*$F$3/$F$12,0)*$F$12</f>
        <v>190000</v>
      </c>
      <c r="R44" s="33" t="n">
        <f aca="false">$E44*$Q44</f>
        <v>76000000</v>
      </c>
      <c r="S44" s="28" t="n">
        <f aca="false">$P44-$O44</f>
        <v>1.70795892886893</v>
      </c>
      <c r="T44" s="34" t="n">
        <f aca="false">IF($P44=0,0,$S44/$P44)</f>
        <v>0.250433860537966</v>
      </c>
      <c r="U44" s="28" t="n">
        <f aca="false">$E44*$S44</f>
        <v>683.183571547572</v>
      </c>
      <c r="V44" s="28" t="n">
        <f aca="false">$E44*$O44</f>
        <v>2044.81642845243</v>
      </c>
      <c r="W44" s="30"/>
      <c r="X44" s="27"/>
    </row>
    <row r="45" customFormat="false" ht="14.25" hidden="false" customHeight="true" outlineLevel="0" collapsed="false">
      <c r="A45" s="25" t="n">
        <v>10</v>
      </c>
      <c r="B45" s="25" t="s">
        <v>216</v>
      </c>
      <c r="C45" s="25" t="s">
        <v>217</v>
      </c>
      <c r="D45" s="25" t="s">
        <v>199</v>
      </c>
      <c r="E45" s="26" t="n">
        <v>200</v>
      </c>
      <c r="F45" s="27" t="n">
        <v>128</v>
      </c>
      <c r="G45" s="28" t="n">
        <f aca="false">IF($E45=0,0,$F45/$E45*$F$13)</f>
        <v>0.290304</v>
      </c>
      <c r="H45" s="29" t="n">
        <v>4.73</v>
      </c>
      <c r="I45" s="30" t="n">
        <v>0</v>
      </c>
      <c r="J45" s="31" t="n">
        <f aca="false">$H45*$F$8*($F$9*$F$10/$F$11)+IF($H$52=0,0,'Bank Fee'!$H$8*$H45/$H$52)</f>
        <v>0.0270534489289717</v>
      </c>
      <c r="K45" s="31" t="n">
        <f aca="false">IF($G$52=0,0,(Logistic!$M$6+Logistic!$R$6)*$G45/$G$52)</f>
        <v>0.299868015838099</v>
      </c>
      <c r="L45" s="28" t="n">
        <f aca="false">($H45+$K45)*$I45</f>
        <v>0</v>
      </c>
      <c r="M45" s="28" t="n">
        <f aca="false">$F$6*$P45</f>
        <v>0.2127</v>
      </c>
      <c r="N45" s="28" t="n">
        <f aca="false">$F$7*$M45</f>
        <v>0.04254</v>
      </c>
      <c r="O45" s="28" t="n">
        <f aca="false">$H45+$J45+$K45+$L45+$M45+$N45</f>
        <v>5.31216146476707</v>
      </c>
      <c r="P45" s="32" t="n">
        <f aca="false">IF($X45&gt;0,ROUNDUP(($H45+$J45+$K45+$L45+$X45)/(1-$F$6*(1+$F$7)),2),ROUNDUP(($H45+$J45+$K45+$L45)/(1-IF($W45="",$F$5,$W45)-$F$6*(1+$F$7)),2))</f>
        <v>7.09</v>
      </c>
      <c r="Q45" s="33" t="n">
        <f aca="false">ROUNDUP($P45*$F$3/$F$12,0)*$F$12</f>
        <v>190000</v>
      </c>
      <c r="R45" s="33" t="n">
        <f aca="false">$E45*$Q45</f>
        <v>38000000</v>
      </c>
      <c r="S45" s="28" t="n">
        <f aca="false">$P45-$O45</f>
        <v>1.77783853523293</v>
      </c>
      <c r="T45" s="34" t="n">
        <f aca="false">IF($P45=0,0,$S45/$P45)</f>
        <v>0.250752966887578</v>
      </c>
      <c r="U45" s="28" t="n">
        <f aca="false">$E45*$S45</f>
        <v>355.567707046586</v>
      </c>
      <c r="V45" s="28" t="n">
        <f aca="false">$E45*$O45</f>
        <v>1062.43229295341</v>
      </c>
      <c r="W45" s="30"/>
      <c r="X45" s="27"/>
    </row>
    <row r="46" customFormat="false" ht="14.25" hidden="false" customHeight="true" outlineLevel="0" collapsed="false">
      <c r="A46" s="25" t="n">
        <v>11</v>
      </c>
      <c r="B46" s="25" t="s">
        <v>218</v>
      </c>
      <c r="C46" s="25" t="s">
        <v>219</v>
      </c>
      <c r="D46" s="25" t="s">
        <v>199</v>
      </c>
      <c r="E46" s="26" t="n">
        <v>400</v>
      </c>
      <c r="F46" s="27" t="n">
        <v>212</v>
      </c>
      <c r="G46" s="28" t="n">
        <f aca="false">IF($E46=0,0,$F46/$E46*$F$13)</f>
        <v>0.240408</v>
      </c>
      <c r="H46" s="29" t="n">
        <v>4.87</v>
      </c>
      <c r="I46" s="30" t="n">
        <v>0</v>
      </c>
      <c r="J46" s="31" t="n">
        <f aca="false">$H46*$F$8*($F$9*$F$10/$F$11)+IF($H$52=0,0,'Bank Fee'!$H$8*$H46/$H$52)</f>
        <v>0.0278541852609075</v>
      </c>
      <c r="K46" s="31" t="n">
        <f aca="false">IF($G$52=0,0,(Logistic!$M$6+Logistic!$R$6)*$G46/$G$52)</f>
        <v>0.248328200615926</v>
      </c>
      <c r="L46" s="28" t="n">
        <f aca="false">($H46+$K46)*$I46</f>
        <v>0</v>
      </c>
      <c r="M46" s="28" t="n">
        <f aca="false">$F$6*$P46</f>
        <v>0.2163</v>
      </c>
      <c r="N46" s="28" t="n">
        <f aca="false">$F$7*$M46</f>
        <v>0.04326</v>
      </c>
      <c r="O46" s="28" t="n">
        <f aca="false">$H46+$J46+$K46+$L46+$M46+$N46</f>
        <v>5.40574238587683</v>
      </c>
      <c r="P46" s="32" t="n">
        <f aca="false">IF($X46&gt;0,ROUNDUP(($H46+$J46+$K46+$L46+$X46)/(1-$F$6*(1+$F$7)),2),ROUNDUP(($H46+$J46+$K46+$L46)/(1-IF($W46="",$F$5,$W46)-$F$6*(1+$F$7)),2))</f>
        <v>7.21</v>
      </c>
      <c r="Q46" s="33" t="n">
        <f aca="false">ROUNDUP($P46*$F$3/$F$12,0)*$F$12</f>
        <v>200000</v>
      </c>
      <c r="R46" s="33" t="n">
        <f aca="false">$E46*$Q46</f>
        <v>80000000</v>
      </c>
      <c r="S46" s="28" t="n">
        <f aca="false">$P46-$O46</f>
        <v>1.80425761412317</v>
      </c>
      <c r="T46" s="34" t="n">
        <f aca="false">IF($P46=0,0,$S46/$P46)</f>
        <v>0.250243774496972</v>
      </c>
      <c r="U46" s="28" t="n">
        <f aca="false">$E46*$S46</f>
        <v>721.703045649266</v>
      </c>
      <c r="V46" s="28" t="n">
        <f aca="false">$E46*$O46</f>
        <v>2162.29695435073</v>
      </c>
      <c r="W46" s="30"/>
      <c r="X46" s="27"/>
    </row>
    <row r="47" customFormat="false" ht="14.25" hidden="false" customHeight="true" outlineLevel="0" collapsed="false">
      <c r="A47" s="25" t="n">
        <v>12</v>
      </c>
      <c r="B47" s="25" t="s">
        <v>220</v>
      </c>
      <c r="C47" s="25" t="s">
        <v>221</v>
      </c>
      <c r="D47" s="25" t="s">
        <v>199</v>
      </c>
      <c r="E47" s="26" t="n">
        <v>200</v>
      </c>
      <c r="F47" s="27" t="n">
        <v>102</v>
      </c>
      <c r="G47" s="28" t="n">
        <f aca="false">IF($E47=0,0,$F47/$E47*$F$13)</f>
        <v>0.231336</v>
      </c>
      <c r="H47" s="29" t="n">
        <v>6.46</v>
      </c>
      <c r="I47" s="30" t="n">
        <v>0</v>
      </c>
      <c r="J47" s="31" t="n">
        <f aca="false">$H47*$F$8*($F$9*$F$10/$F$11)+IF($H$52=0,0,'Bank Fee'!$H$8*$H47/$H$52)</f>
        <v>0.0369482621736062</v>
      </c>
      <c r="K47" s="31" t="n">
        <f aca="false">IF($G$52=0,0,(Logistic!$M$6+Logistic!$R$6)*$G47/$G$52)</f>
        <v>0.238957325120986</v>
      </c>
      <c r="L47" s="28" t="n">
        <f aca="false">($H47+$K47)*$I47</f>
        <v>0</v>
      </c>
      <c r="M47" s="28" t="n">
        <f aca="false">$F$6*$P47</f>
        <v>0.2832</v>
      </c>
      <c r="N47" s="28" t="n">
        <f aca="false">$F$7*$M47</f>
        <v>0.05664</v>
      </c>
      <c r="O47" s="28" t="n">
        <f aca="false">$H47+$J47+$K47+$L47+$M47+$N47</f>
        <v>7.07574558729459</v>
      </c>
      <c r="P47" s="32" t="n">
        <f aca="false">IF($X47&gt;0,ROUNDUP(($H47+$J47+$K47+$L47+$X47)/(1-$F$6*(1+$F$7)),2),ROUNDUP(($H47+$J47+$K47+$L47)/(1-IF($W47="",$F$5,$W47)-$F$6*(1+$F$7)),2))</f>
        <v>9.44</v>
      </c>
      <c r="Q47" s="33" t="n">
        <f aca="false">ROUNDUP($P47*$F$3/$F$12,0)*$F$12</f>
        <v>260000</v>
      </c>
      <c r="R47" s="33" t="n">
        <f aca="false">$E47*$Q47</f>
        <v>52000000</v>
      </c>
      <c r="S47" s="28" t="n">
        <f aca="false">$P47-$O47</f>
        <v>2.36425441270541</v>
      </c>
      <c r="T47" s="34" t="n">
        <f aca="false">IF($P47=0,0,$S47/$P47)</f>
        <v>0.250450679312014</v>
      </c>
      <c r="U47" s="28" t="n">
        <f aca="false">$E47*$S47</f>
        <v>472.850882541082</v>
      </c>
      <c r="V47" s="28" t="n">
        <f aca="false">$E47*$O47</f>
        <v>1415.14911745892</v>
      </c>
      <c r="W47" s="30"/>
      <c r="X47" s="27"/>
    </row>
    <row r="48" customFormat="false" ht="14.25" hidden="false" customHeight="true" outlineLevel="0" collapsed="false">
      <c r="A48" s="25" t="n">
        <v>13</v>
      </c>
      <c r="B48" s="25" t="s">
        <v>222</v>
      </c>
      <c r="C48" s="25" t="s">
        <v>223</v>
      </c>
      <c r="D48" s="25" t="s">
        <v>199</v>
      </c>
      <c r="E48" s="26" t="n">
        <v>240</v>
      </c>
      <c r="F48" s="27" t="n">
        <v>153.6</v>
      </c>
      <c r="G48" s="28" t="n">
        <f aca="false">IF($E48=0,0,$F48/$E48*$F$13)</f>
        <v>0.290304</v>
      </c>
      <c r="H48" s="29" t="n">
        <v>4.87</v>
      </c>
      <c r="I48" s="30" t="n">
        <v>0</v>
      </c>
      <c r="J48" s="31" t="n">
        <f aca="false">$H48*$F$8*($F$9*$F$10/$F$11)+IF($H$52=0,0,'Bank Fee'!$H$8*$H48/$H$52)</f>
        <v>0.0278541852609075</v>
      </c>
      <c r="K48" s="31" t="n">
        <f aca="false">IF($G$52=0,0,(Logistic!$M$6+Logistic!$R$6)*$G48/$G$52)</f>
        <v>0.299868015838099</v>
      </c>
      <c r="L48" s="28" t="n">
        <f aca="false">($H48+$K48)*$I48</f>
        <v>0</v>
      </c>
      <c r="M48" s="28" t="n">
        <f aca="false">$F$6*$P48</f>
        <v>0.2184</v>
      </c>
      <c r="N48" s="28" t="n">
        <f aca="false">$F$7*$M48</f>
        <v>0.04368</v>
      </c>
      <c r="O48" s="28" t="n">
        <f aca="false">$H48+$J48+$K48+$L48+$M48+$N48</f>
        <v>5.45980220109901</v>
      </c>
      <c r="P48" s="32" t="n">
        <f aca="false">IF($X48&gt;0,ROUNDUP(($H48+$J48+$K48+$L48+$X48)/(1-$F$6*(1+$F$7)),2),ROUNDUP(($H48+$J48+$K48+$L48)/(1-IF($W48="",$F$5,$W48)-$F$6*(1+$F$7)),2))</f>
        <v>7.28</v>
      </c>
      <c r="Q48" s="33" t="n">
        <f aca="false">ROUNDUP($P48*$F$3/$F$12,0)*$F$12</f>
        <v>200000</v>
      </c>
      <c r="R48" s="33" t="n">
        <f aca="false">$E48*$Q48</f>
        <v>48000000</v>
      </c>
      <c r="S48" s="28" t="n">
        <f aca="false">$P48-$O48</f>
        <v>1.82019779890099</v>
      </c>
      <c r="T48" s="34" t="n">
        <f aca="false">IF($P48=0,0,$S48/$P48)</f>
        <v>0.250027170178708</v>
      </c>
      <c r="U48" s="28" t="n">
        <f aca="false">$E48*$S48</f>
        <v>436.847471736238</v>
      </c>
      <c r="V48" s="28" t="n">
        <f aca="false">$E48*$O48</f>
        <v>1310.35252826376</v>
      </c>
      <c r="W48" s="30"/>
      <c r="X48" s="27"/>
    </row>
    <row r="49" customFormat="false" ht="14.25" hidden="false" customHeight="true" outlineLevel="0" collapsed="false">
      <c r="A49" s="25" t="n">
        <v>14</v>
      </c>
      <c r="B49" s="25" t="s">
        <v>224</v>
      </c>
      <c r="C49" s="25" t="s">
        <v>225</v>
      </c>
      <c r="D49" s="25" t="s">
        <v>199</v>
      </c>
      <c r="E49" s="26" t="n">
        <v>120</v>
      </c>
      <c r="F49" s="27" t="n">
        <v>76.8</v>
      </c>
      <c r="G49" s="28" t="n">
        <f aca="false">IF($E49=0,0,$F49/$E49*$F$13)</f>
        <v>0.290304</v>
      </c>
      <c r="H49" s="29" t="n">
        <v>5.01</v>
      </c>
      <c r="I49" s="30" t="n">
        <v>0</v>
      </c>
      <c r="J49" s="31" t="n">
        <f aca="false">$H49*$F$8*($F$9*$F$10/$F$11)+IF($H$52=0,0,'Bank Fee'!$H$8*$H49/$H$52)</f>
        <v>0.0286549215928432</v>
      </c>
      <c r="K49" s="31" t="n">
        <f aca="false">IF($G$52=0,0,(Logistic!$M$6+Logistic!$R$6)*$G49/$G$52)</f>
        <v>0.299868015838099</v>
      </c>
      <c r="L49" s="28" t="n">
        <f aca="false">($H49+$K49)*$I49</f>
        <v>0</v>
      </c>
      <c r="M49" s="28" t="n">
        <f aca="false">$F$6*$P49</f>
        <v>0.2244</v>
      </c>
      <c r="N49" s="28" t="n">
        <f aca="false">$F$7*$M49</f>
        <v>0.04488</v>
      </c>
      <c r="O49" s="28" t="n">
        <f aca="false">$H49+$J49+$K49+$L49+$M49+$N49</f>
        <v>5.60780293743094</v>
      </c>
      <c r="P49" s="32" t="n">
        <f aca="false">IF($X49&gt;0,ROUNDUP(($H49+$J49+$K49+$L49+$X49)/(1-$F$6*(1+$F$7)),2),ROUNDUP(($H49+$J49+$K49+$L49)/(1-IF($W49="",$F$5,$W49)-$F$6*(1+$F$7)),2))</f>
        <v>7.48</v>
      </c>
      <c r="Q49" s="33" t="n">
        <f aca="false">ROUNDUP($P49*$F$3/$F$12,0)*$F$12</f>
        <v>200000</v>
      </c>
      <c r="R49" s="33" t="n">
        <f aca="false">$E49*$Q49</f>
        <v>24000000</v>
      </c>
      <c r="S49" s="28" t="n">
        <f aca="false">$P49-$O49</f>
        <v>1.87219706256906</v>
      </c>
      <c r="T49" s="34" t="n">
        <f aca="false">IF($P49=0,0,$S49/$P49)</f>
        <v>0.250293724942387</v>
      </c>
      <c r="U49" s="28" t="n">
        <f aca="false">$E49*$S49</f>
        <v>224.663647508287</v>
      </c>
      <c r="V49" s="28" t="n">
        <f aca="false">$E49*$O49</f>
        <v>672.936352491713</v>
      </c>
      <c r="W49" s="30"/>
      <c r="X49" s="27"/>
    </row>
    <row r="50" customFormat="false" ht="14.25" hidden="false" customHeight="true" outlineLevel="0" collapsed="false">
      <c r="A50" s="25" t="n">
        <v>15</v>
      </c>
      <c r="B50" s="25" t="s">
        <v>197</v>
      </c>
      <c r="C50" s="25" t="s">
        <v>198</v>
      </c>
      <c r="D50" s="25" t="s">
        <v>199</v>
      </c>
      <c r="E50" s="26" t="n">
        <v>240</v>
      </c>
      <c r="F50" s="27" t="n">
        <v>76</v>
      </c>
      <c r="G50" s="28" t="n">
        <f aca="false">IF($E50=0,0,$F50/$E50*$F$13)</f>
        <v>0.14364</v>
      </c>
      <c r="H50" s="29" t="n">
        <v>4.37</v>
      </c>
      <c r="I50" s="30" t="n">
        <v>0</v>
      </c>
      <c r="J50" s="31" t="n">
        <f aca="false">$H50*$F$8*($F$9*$F$10/$F$11)+IF($H$52=0,0,'Bank Fee'!$H$8*$H50/$H$52)</f>
        <v>0.0249944126468513</v>
      </c>
      <c r="K50" s="31" t="n">
        <f aca="false">IF($G$52=0,0,(Logistic!$M$6+Logistic!$R$6)*$G50/$G$52)</f>
        <v>0.14837219533656</v>
      </c>
      <c r="L50" s="28" t="n">
        <f aca="false">($H50+$K50)*$I50</f>
        <v>0</v>
      </c>
      <c r="M50" s="28" t="n">
        <f aca="false">$F$6*$P50</f>
        <v>0.1911</v>
      </c>
      <c r="N50" s="28" t="n">
        <f aca="false">$F$7*$M50</f>
        <v>0.03822</v>
      </c>
      <c r="O50" s="28" t="n">
        <f aca="false">$H50+$J50+$K50+$L50+$M50+$N50</f>
        <v>4.77268660798341</v>
      </c>
      <c r="P50" s="32" t="n">
        <f aca="false">IF($X50&gt;0,ROUNDUP(($H50+$J50+$K50+$L50+$X50)/(1-$F$6*(1+$F$7)),2),ROUNDUP(($H50+$J50+$K50+$L50)/(1-IF($W50="",$F$5,$W50)-$F$6*(1+$F$7)),2))</f>
        <v>6.37</v>
      </c>
      <c r="Q50" s="33" t="n">
        <f aca="false">ROUNDUP($P50*$F$3/$F$12,0)*$F$12</f>
        <v>170000</v>
      </c>
      <c r="R50" s="33" t="n">
        <f aca="false">$E50*$Q50</f>
        <v>40800000</v>
      </c>
      <c r="S50" s="28" t="n">
        <f aca="false">$P50-$O50</f>
        <v>1.59731339201659</v>
      </c>
      <c r="T50" s="34" t="n">
        <f aca="false">IF($P50=0,0,$S50/$P50)</f>
        <v>0.250755634539496</v>
      </c>
      <c r="U50" s="28" t="n">
        <f aca="false">$E50*$S50</f>
        <v>383.355214083982</v>
      </c>
      <c r="V50" s="28" t="n">
        <f aca="false">$E50*$O50</f>
        <v>1145.44478591602</v>
      </c>
      <c r="W50" s="30"/>
      <c r="X50" s="27"/>
    </row>
    <row r="51" customFormat="false" ht="14.25" hidden="false" customHeight="true" outlineLevel="0" collapsed="false">
      <c r="A51" s="25" t="n">
        <v>16</v>
      </c>
      <c r="B51" s="25" t="s">
        <v>200</v>
      </c>
      <c r="C51" s="25" t="s">
        <v>201</v>
      </c>
      <c r="D51" s="25" t="s">
        <v>199</v>
      </c>
      <c r="E51" s="26" t="n">
        <v>120</v>
      </c>
      <c r="F51" s="27" t="n">
        <v>50.4</v>
      </c>
      <c r="G51" s="28" t="n">
        <f aca="false">IF($E51=0,0,$F51/$E51*$F$13)</f>
        <v>0.190512</v>
      </c>
      <c r="H51" s="29" t="n">
        <v>4.68</v>
      </c>
      <c r="I51" s="30" t="n">
        <v>0</v>
      </c>
      <c r="J51" s="31" t="n">
        <f aca="false">$H51*$F$8*($F$9*$F$10/$F$11)+IF($H$52=0,0,'Bank Fee'!$H$8*$H51/$H$52)</f>
        <v>0.0267674716675661</v>
      </c>
      <c r="K51" s="31" t="n">
        <f aca="false">IF($G$52=0,0,(Logistic!$M$6+Logistic!$R$6)*$G51/$G$52)</f>
        <v>0.196788385393753</v>
      </c>
      <c r="L51" s="28" t="n">
        <f aca="false">($H51+$K51)*$I51</f>
        <v>0</v>
      </c>
      <c r="M51" s="28" t="n">
        <f aca="false">$F$6*$P51</f>
        <v>0.2061</v>
      </c>
      <c r="N51" s="28" t="n">
        <f aca="false">$F$7*$M51</f>
        <v>0.04122</v>
      </c>
      <c r="O51" s="28" t="n">
        <f aca="false">$H51+$J51+$K51+$L51+$M51+$N51</f>
        <v>5.15087585706132</v>
      </c>
      <c r="P51" s="32" t="n">
        <f aca="false">IF($X51&gt;0,ROUNDUP(($H51+$J51+$K51+$L51+$X51)/(1-$F$6*(1+$F$7)),2),ROUNDUP(($H51+$J51+$K51+$L51)/(1-IF($W51="",$F$5,$W51)-$F$6*(1+$F$7)),2))</f>
        <v>6.87</v>
      </c>
      <c r="Q51" s="33" t="n">
        <f aca="false">ROUNDUP($P51*$F$3/$F$12,0)*$F$12</f>
        <v>190000</v>
      </c>
      <c r="R51" s="33" t="n">
        <f aca="false">$E51*$Q51</f>
        <v>22800000</v>
      </c>
      <c r="S51" s="28" t="n">
        <f aca="false">$P51-$O51</f>
        <v>1.71912414293868</v>
      </c>
      <c r="T51" s="34" t="n">
        <f aca="false">IF($P51=0,0,$S51/$P51)</f>
        <v>0.250236410908105</v>
      </c>
      <c r="U51" s="28" t="n">
        <f aca="false">$E51*$S51</f>
        <v>206.294897152642</v>
      </c>
      <c r="V51" s="28" t="n">
        <f aca="false">$E51*$O51</f>
        <v>618.105102847358</v>
      </c>
      <c r="W51" s="30"/>
      <c r="X51" s="27"/>
    </row>
    <row r="52" customFormat="false" ht="14.25" hidden="false" customHeight="true" outlineLevel="0" collapsed="false">
      <c r="A52" s="35" t="s">
        <v>226</v>
      </c>
      <c r="B52" s="36"/>
      <c r="C52" s="36"/>
      <c r="D52" s="36"/>
      <c r="E52" s="37" t="n">
        <f aca="false">SUM(E36:E51)</f>
        <v>4080</v>
      </c>
      <c r="F52" s="38" t="n">
        <f aca="false">SUM(F36:F51)</f>
        <v>2273</v>
      </c>
      <c r="G52" s="38" t="n">
        <f aca="false">SUMPRODUCT($E$36:$E$51,G36:G51)</f>
        <v>1031.0328</v>
      </c>
      <c r="H52" s="38" t="n">
        <f aca="false">SUMPRODUCT($E$36:$E$51,H36:H51)</f>
        <v>19271.2</v>
      </c>
      <c r="I52" s="36"/>
      <c r="J52" s="38" t="n">
        <f aca="false">SUMPRODUCT($E$36:$E$51,J36:J51)</f>
        <v>110.2225</v>
      </c>
      <c r="K52" s="38" t="n">
        <f aca="false">SUMPRODUCT($E$36:$E$51,K36:K51)</f>
        <v>1065</v>
      </c>
      <c r="L52" s="38" t="n">
        <f aca="false">SUMPRODUCT($E$36:$E$51,L36:L51)</f>
        <v>0</v>
      </c>
      <c r="M52" s="38" t="n">
        <f aca="false">SUMPRODUCT($E$36:$E$51,M36:M51)</f>
        <v>859.572</v>
      </c>
      <c r="N52" s="38" t="n">
        <f aca="false">SUMPRODUCT($E$36:$E$51,N36:N51)</f>
        <v>171.9144</v>
      </c>
      <c r="O52" s="38" t="n">
        <f aca="false">SUMPRODUCT($E$36:$E$51,O36:O51)</f>
        <v>21477.9089</v>
      </c>
      <c r="P52" s="38" t="n">
        <f aca="false">SUMPRODUCT($E$36:$E$51,P36:P51)</f>
        <v>28652.4</v>
      </c>
      <c r="Q52" s="36"/>
      <c r="R52" s="37" t="n">
        <f aca="false">SUM(R36:R51)</f>
        <v>778800000</v>
      </c>
      <c r="S52" s="36"/>
      <c r="T52" s="39" t="n">
        <f aca="false">IF(P52=0,0,U52/P52)</f>
        <v>0.250397561809831</v>
      </c>
      <c r="U52" s="38" t="n">
        <f aca="false">SUM(U36:U51)</f>
        <v>7174.4911</v>
      </c>
      <c r="V52" s="38" t="n">
        <f aca="false">SUM(V36:V51)</f>
        <v>21477.9089</v>
      </c>
    </row>
    <row r="55" customFormat="false" ht="15" hidden="false" customHeight="true" outlineLevel="0" collapsed="false">
      <c r="A55" s="19" t="s">
        <v>229</v>
      </c>
      <c r="B55" s="20"/>
      <c r="C55" s="20"/>
      <c r="D55" s="20"/>
      <c r="E55" s="20"/>
    </row>
    <row r="56" customFormat="false" ht="14.25" hidden="false" customHeight="true" outlineLevel="0" collapsed="false">
      <c r="A56" s="41" t="s">
        <v>230</v>
      </c>
      <c r="D56" s="41" t="s">
        <v>231</v>
      </c>
      <c r="E56" s="41" t="s">
        <v>232</v>
      </c>
    </row>
    <row r="57" customFormat="false" ht="14.25" hidden="false" customHeight="true" outlineLevel="0" collapsed="false">
      <c r="A57" s="5" t="s">
        <v>86</v>
      </c>
      <c r="D57" s="33" t="n">
        <f aca="false">R31</f>
        <v>890800000</v>
      </c>
      <c r="E57" s="33" t="n">
        <f aca="false">R52</f>
        <v>778800000</v>
      </c>
    </row>
    <row r="58" customFormat="false" ht="14.25" hidden="false" customHeight="true" outlineLevel="0" collapsed="false">
      <c r="A58" s="5" t="s">
        <v>233</v>
      </c>
      <c r="D58" s="32" t="n">
        <f aca="false">R31/$F$3</f>
        <v>33615.0943396226</v>
      </c>
      <c r="E58" s="32" t="n">
        <f aca="false">R52/$F$3</f>
        <v>29388.679245283</v>
      </c>
    </row>
    <row r="59" customFormat="false" ht="14.25" hidden="false" customHeight="true" outlineLevel="0" collapsed="false">
      <c r="A59" s="5" t="s">
        <v>234</v>
      </c>
      <c r="D59" s="32" t="n">
        <f aca="false">R31/$F$4</f>
        <v>33685.006617508</v>
      </c>
      <c r="E59" s="32" t="n">
        <f aca="false">R52/$F$4</f>
        <v>29449.8014747589</v>
      </c>
    </row>
    <row r="60" customFormat="false" ht="14.25" hidden="false" customHeight="true" outlineLevel="0" collapsed="false">
      <c r="A60" s="5" t="s">
        <v>235</v>
      </c>
      <c r="D60" s="32" t="n">
        <f aca="false">V31</f>
        <v>24576.9777</v>
      </c>
      <c r="E60" s="32" t="n">
        <f aca="false">V52</f>
        <v>21477.9089</v>
      </c>
    </row>
    <row r="61" customFormat="false" ht="14.25" hidden="false" customHeight="true" outlineLevel="0" collapsed="false">
      <c r="A61" s="5" t="s">
        <v>236</v>
      </c>
      <c r="D61" s="34" t="n">
        <f aca="false">T31</f>
        <v>0.250546524889306</v>
      </c>
      <c r="E61" s="34" t="n">
        <f aca="false">T52</f>
        <v>0.250397561809831</v>
      </c>
    </row>
    <row r="62" customFormat="false" ht="14.25" hidden="false" customHeight="true" outlineLevel="0" collapsed="false">
      <c r="A62" s="5" t="s">
        <v>237</v>
      </c>
      <c r="D62" s="34" t="n">
        <f aca="false">(R31/$F$4-V31)/(R31/$F$4)</f>
        <v>0.270388218144926</v>
      </c>
      <c r="E62" s="34" t="n">
        <f aca="false">(R52/$F$4-V52)/(R52/$F$4)</f>
        <v>0.270694272135978</v>
      </c>
    </row>
    <row r="63" customFormat="false" ht="14.25" hidden="false" customHeight="true" outlineLevel="0" collapsed="false">
      <c r="A63" s="5" t="s">
        <v>238</v>
      </c>
      <c r="D63" s="32" t="n">
        <f aca="false">R31/$F$4-V31</f>
        <v>9108.02891750803</v>
      </c>
      <c r="E63" s="32" t="n">
        <f aca="false">R52/$F$4-V52</f>
        <v>7971.89257475893</v>
      </c>
    </row>
    <row r="64" customFormat="false" ht="14.25" hidden="false" customHeight="true" outlineLevel="0" collapsed="false">
      <c r="A64" s="5" t="s">
        <v>239</v>
      </c>
      <c r="D64" s="32" t="n">
        <f aca="false">K31</f>
        <v>4015</v>
      </c>
      <c r="E64" s="32" t="n">
        <f aca="false">K52</f>
        <v>1065</v>
      </c>
    </row>
    <row r="65" customFormat="false" ht="14.25" hidden="false" customHeight="true" outlineLevel="0" collapsed="false">
      <c r="A65" s="5" t="s">
        <v>240</v>
      </c>
      <c r="D65" s="32" t="n">
        <f aca="false">J31</f>
        <v>110.2225</v>
      </c>
      <c r="E65" s="32" t="n">
        <f aca="false">J52</f>
        <v>110.2225</v>
      </c>
    </row>
    <row r="66" customFormat="false" ht="14.25" hidden="false" customHeight="true" outlineLevel="0" collapsed="false">
      <c r="A66" s="5" t="s">
        <v>241</v>
      </c>
      <c r="D66" s="42" t="n">
        <f aca="false">ROUND(O31-(H31+J31+K31+L31+M31+N31),6)</f>
        <v>0</v>
      </c>
      <c r="E66" s="42" t="n">
        <f aca="false">ROUND(O52-(H52+J52+K52+L52+M52+N52),6)</f>
        <v>0</v>
      </c>
    </row>
    <row r="67" customFormat="false" ht="14.25" hidden="false" customHeight="true" outlineLevel="0" collapsed="false">
      <c r="A67" s="5" t="s">
        <v>242</v>
      </c>
      <c r="D67" s="42" t="n">
        <f aca="false">ROUND(J31-(H31*$F$8*($F$9*$F$10/$F$11)+'Bank Fee'!$H$8),6)</f>
        <v>0</v>
      </c>
      <c r="E67" s="42" t="n">
        <f aca="false">ROUND(J52-(H52*$F$8*($F$9*$F$10/$F$11)+'Bank Fee'!$H$8),6)</f>
        <v>0</v>
      </c>
    </row>
    <row r="68" customFormat="false" ht="14.25" hidden="false" customHeight="true" outlineLevel="0" collapsed="false">
      <c r="A68" s="3" t="s">
        <v>243</v>
      </c>
      <c r="D68" s="43" t="n">
        <f aca="false">R31-R52</f>
        <v>112000000</v>
      </c>
    </row>
  </sheetData>
  <mergeCells count="1">
    <mergeCell ref="A32:V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8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8" min="7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7" min="16" style="1" width="11"/>
    <col collapsed="false" customWidth="true" hidden="false" outlineLevel="0" max="18" min="18" style="1" width="13"/>
    <col collapsed="false" customWidth="true" hidden="false" outlineLevel="0" max="19" min="19" style="1" width="14"/>
    <col collapsed="false" customWidth="true" hidden="false" outlineLevel="0" max="20" min="20" style="1" width="17"/>
  </cols>
  <sheetData>
    <row r="1" customFormat="false" ht="15" hidden="false" customHeight="true" outlineLevel="0" collapsed="false">
      <c r="A1" s="2" t="s">
        <v>244</v>
      </c>
    </row>
    <row r="2" customFormat="false" ht="14.25" hidden="false" customHeight="true" outlineLevel="0" collapsed="false">
      <c r="A2" s="18" t="s">
        <v>245</v>
      </c>
    </row>
    <row r="4" customFormat="false" ht="31.5" hidden="false" customHeight="true" outlineLevel="0" collapsed="false">
      <c r="A4" s="24" t="s">
        <v>246</v>
      </c>
      <c r="B4" s="24" t="s">
        <v>114</v>
      </c>
      <c r="C4" s="24" t="s">
        <v>247</v>
      </c>
      <c r="D4" s="24" t="s">
        <v>248</v>
      </c>
      <c r="E4" s="24" t="s">
        <v>249</v>
      </c>
      <c r="F4" s="24" t="s">
        <v>250</v>
      </c>
      <c r="G4" s="24" t="s">
        <v>251</v>
      </c>
      <c r="H4" s="24" t="s">
        <v>252</v>
      </c>
      <c r="I4" s="24" t="s">
        <v>253</v>
      </c>
      <c r="J4" s="24" t="s">
        <v>254</v>
      </c>
      <c r="K4" s="24" t="s">
        <v>255</v>
      </c>
      <c r="L4" s="24" t="s">
        <v>256</v>
      </c>
      <c r="M4" s="24" t="s">
        <v>257</v>
      </c>
      <c r="N4" s="24" t="s">
        <v>122</v>
      </c>
      <c r="O4" s="24" t="s">
        <v>116</v>
      </c>
      <c r="P4" s="24" t="s">
        <v>258</v>
      </c>
      <c r="Q4" s="24" t="s">
        <v>259</v>
      </c>
      <c r="R4" s="24" t="s">
        <v>260</v>
      </c>
      <c r="S4" s="24" t="s">
        <v>261</v>
      </c>
      <c r="T4" s="24" t="s">
        <v>126</v>
      </c>
    </row>
    <row r="5" customFormat="false" ht="14.25" hidden="false" customHeight="true" outlineLevel="0" collapsed="false">
      <c r="A5" s="25" t="s">
        <v>262</v>
      </c>
      <c r="B5" s="44" t="n">
        <f aca="false">'Margin Analysis'!$G$31</f>
        <v>1031.0328</v>
      </c>
      <c r="C5" s="25" t="s">
        <v>263</v>
      </c>
      <c r="D5" s="25" t="s">
        <v>163</v>
      </c>
      <c r="E5" s="25" t="s">
        <v>264</v>
      </c>
      <c r="F5" s="25" t="s">
        <v>265</v>
      </c>
      <c r="G5" s="27" t="n">
        <v>500</v>
      </c>
      <c r="H5" s="27" t="n">
        <v>2.5</v>
      </c>
      <c r="I5" s="27" t="n">
        <v>1300</v>
      </c>
      <c r="J5" s="32" t="n">
        <f aca="false">G5+H5*I5</f>
        <v>3750</v>
      </c>
      <c r="K5" s="27" t="n">
        <v>150</v>
      </c>
      <c r="L5" s="27" t="n">
        <v>100</v>
      </c>
      <c r="M5" s="32" t="n">
        <f aca="false">J5+K5+L5</f>
        <v>4000</v>
      </c>
      <c r="N5" s="32" t="n">
        <f aca="false">IF(B5=0,0,M5/B5)</f>
        <v>3.87960499413792</v>
      </c>
      <c r="O5" s="44" t="n">
        <f aca="false">'Margin Analysis'!$H$31</f>
        <v>19271.2</v>
      </c>
      <c r="P5" s="30" t="n">
        <v>1.1</v>
      </c>
      <c r="Q5" s="30" t="n">
        <v>0.0001</v>
      </c>
      <c r="R5" s="27" t="n">
        <v>15</v>
      </c>
      <c r="S5" s="32" t="n">
        <f aca="false">MAX((O5+M5)*P5*Q5,R5)</f>
        <v>15</v>
      </c>
      <c r="T5" s="45" t="n">
        <f aca="false">M5+S5</f>
        <v>4015</v>
      </c>
    </row>
    <row r="6" customFormat="false" ht="14.25" hidden="false" customHeight="true" outlineLevel="0" collapsed="false">
      <c r="A6" s="25" t="s">
        <v>266</v>
      </c>
      <c r="B6" s="44" t="n">
        <f aca="false">'Margin Analysis'!$G$52</f>
        <v>1031.0328</v>
      </c>
      <c r="C6" s="25" t="s">
        <v>263</v>
      </c>
      <c r="D6" s="25" t="s">
        <v>163</v>
      </c>
      <c r="E6" s="25" t="s">
        <v>267</v>
      </c>
      <c r="F6" s="25" t="s">
        <v>265</v>
      </c>
      <c r="G6" s="27" t="n">
        <v>800</v>
      </c>
      <c r="H6" s="27" t="n">
        <v>0</v>
      </c>
      <c r="I6" s="27" t="n">
        <v>0</v>
      </c>
      <c r="J6" s="32" t="n">
        <f aca="false">G6+H6*I6</f>
        <v>800</v>
      </c>
      <c r="K6" s="27" t="n">
        <v>150</v>
      </c>
      <c r="L6" s="27" t="n">
        <v>100</v>
      </c>
      <c r="M6" s="32" t="n">
        <f aca="false">J6+K6+L6</f>
        <v>1050</v>
      </c>
      <c r="N6" s="32" t="n">
        <f aca="false">IF(B6=0,0,M6/B6)</f>
        <v>1.0183963109612</v>
      </c>
      <c r="O6" s="44" t="n">
        <f aca="false">'Margin Analysis'!$H$52</f>
        <v>19271.2</v>
      </c>
      <c r="P6" s="30" t="n">
        <v>1.1</v>
      </c>
      <c r="Q6" s="30" t="n">
        <v>0.0001</v>
      </c>
      <c r="R6" s="27" t="n">
        <v>15</v>
      </c>
      <c r="S6" s="32" t="n">
        <f aca="false">MAX((O6+M6)*P6*Q6,R6)</f>
        <v>15</v>
      </c>
      <c r="T6" s="45" t="n">
        <f aca="false">M6+S6</f>
        <v>1065</v>
      </c>
    </row>
    <row r="9" customFormat="false" ht="14.25" hidden="false" customHeight="true" outlineLevel="0" collapsed="false">
      <c r="A9" s="3" t="s">
        <v>268</v>
      </c>
    </row>
    <row r="10" customFormat="false" ht="14.25" hidden="false" customHeight="true" outlineLevel="0" collapsed="false">
      <c r="A10" s="46" t="s">
        <v>269</v>
      </c>
    </row>
    <row r="11" customFormat="false" ht="14.25" hidden="false" customHeight="true" outlineLevel="0" collapsed="false">
      <c r="A11" s="46" t="s">
        <v>270</v>
      </c>
    </row>
    <row r="12" customFormat="false" ht="14.25" hidden="false" customHeight="true" outlineLevel="0" collapsed="false">
      <c r="A12" s="46" t="s">
        <v>271</v>
      </c>
    </row>
    <row r="13" customFormat="false" ht="14.25" hidden="false" customHeight="true" outlineLevel="0" collapsed="false">
      <c r="A13" s="46" t="s">
        <v>272</v>
      </c>
    </row>
    <row r="14" customFormat="false" ht="14.25" hidden="false" customHeight="true" outlineLevel="0" collapsed="false">
      <c r="A14" s="46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4" min="3" style="1" width="11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41.55"/>
    <col collapsed="false" customWidth="true" hidden="false" outlineLevel="0" max="8" min="8" style="1" width="12"/>
  </cols>
  <sheetData>
    <row r="1" customFormat="false" ht="15" hidden="false" customHeight="true" outlineLevel="0" collapsed="false">
      <c r="A1" s="2" t="s">
        <v>274</v>
      </c>
    </row>
    <row r="2" customFormat="false" ht="14.25" hidden="false" customHeight="true" outlineLevel="0" collapsed="false">
      <c r="A2" s="5" t="s">
        <v>275</v>
      </c>
    </row>
    <row r="4" customFormat="false" ht="30" hidden="false" customHeight="true" outlineLevel="0" collapsed="false">
      <c r="A4" s="24" t="s">
        <v>276</v>
      </c>
      <c r="B4" s="24" t="s">
        <v>189</v>
      </c>
      <c r="C4" s="24" t="s">
        <v>277</v>
      </c>
      <c r="D4" s="24" t="s">
        <v>278</v>
      </c>
      <c r="E4" s="24" t="s">
        <v>279</v>
      </c>
      <c r="F4" s="24" t="s">
        <v>280</v>
      </c>
      <c r="G4" s="24" t="s">
        <v>281</v>
      </c>
      <c r="H4" s="24" t="s">
        <v>282</v>
      </c>
    </row>
    <row r="5" customFormat="false" ht="14.25" hidden="false" customHeight="true" outlineLevel="0" collapsed="false">
      <c r="A5" s="25" t="n">
        <v>1</v>
      </c>
      <c r="B5" s="47" t="s">
        <v>283</v>
      </c>
      <c r="C5" s="48" t="n">
        <v>0.002</v>
      </c>
      <c r="D5" s="48" t="n">
        <v>1.1</v>
      </c>
      <c r="E5" s="49" t="n">
        <v>50</v>
      </c>
      <c r="F5" s="44" t="n">
        <f aca="false">'Margin Analysis'!$H$31</f>
        <v>19271.2</v>
      </c>
      <c r="G5" s="47" t="s">
        <v>284</v>
      </c>
      <c r="H5" s="32" t="n">
        <f aca="false">IF('Margin Analysis'!$B$6="Local",0,MAX(C5*D5*F5,E5))</f>
        <v>50</v>
      </c>
    </row>
    <row r="6" customFormat="false" ht="14.25" hidden="false" customHeight="true" outlineLevel="0" collapsed="false">
      <c r="A6" s="25" t="n">
        <v>2</v>
      </c>
      <c r="B6" s="47" t="s">
        <v>285</v>
      </c>
      <c r="C6" s="48" t="n">
        <v>0.0005</v>
      </c>
      <c r="D6" s="48" t="n">
        <v>1</v>
      </c>
      <c r="E6" s="49" t="n">
        <v>5</v>
      </c>
      <c r="F6" s="49" t="n">
        <v>0</v>
      </c>
      <c r="G6" s="47" t="s">
        <v>286</v>
      </c>
      <c r="H6" s="32" t="n">
        <f aca="false">IF('Margin Analysis'!$B$5="VN",0,MAX(C6*D6*F6,E6))</f>
        <v>0</v>
      </c>
    </row>
    <row r="7" customFormat="false" ht="14.25" hidden="false" customHeight="true" outlineLevel="0" collapsed="false">
      <c r="A7" s="25" t="n">
        <v>3</v>
      </c>
      <c r="B7" s="47" t="s">
        <v>135</v>
      </c>
      <c r="C7" s="50"/>
      <c r="D7" s="50"/>
      <c r="E7" s="51"/>
      <c r="F7" s="51"/>
      <c r="G7" s="52"/>
      <c r="H7" s="27" t="n">
        <v>0</v>
      </c>
    </row>
    <row r="8" customFormat="false" ht="14.25" hidden="false" customHeight="true" outlineLevel="0" collapsed="false">
      <c r="A8" s="36"/>
      <c r="B8" s="35" t="s">
        <v>145</v>
      </c>
      <c r="C8" s="53"/>
      <c r="D8" s="53"/>
      <c r="E8" s="54"/>
      <c r="F8" s="54"/>
      <c r="G8" s="36"/>
      <c r="H8" s="38" t="n">
        <f aca="false">SUM(H5:H7)</f>
        <v>50</v>
      </c>
    </row>
    <row r="11" customFormat="false" ht="14.25" hidden="false" customHeight="true" outlineLevel="0" collapsed="false">
      <c r="A11" s="3" t="s">
        <v>268</v>
      </c>
    </row>
    <row r="12" customFormat="false" ht="14.25" hidden="false" customHeight="true" outlineLevel="0" collapsed="false">
      <c r="A12" s="46" t="s">
        <v>287</v>
      </c>
    </row>
    <row r="13" customFormat="false" ht="14.25" hidden="false" customHeight="true" outlineLevel="0" collapsed="false">
      <c r="A13" s="46" t="s">
        <v>288</v>
      </c>
    </row>
    <row r="14" customFormat="false" ht="14.25" hidden="false" customHeight="true" outlineLevel="0" collapsed="false">
      <c r="A14" s="46" t="s">
        <v>289</v>
      </c>
    </row>
    <row r="15" customFormat="false" ht="14.25" hidden="false" customHeight="true" outlineLevel="0" collapsed="false">
      <c r="A15" s="46" t="s">
        <v>290</v>
      </c>
    </row>
    <row r="16" customFormat="false" ht="14.25" hidden="false" customHeight="true" outlineLevel="0" collapsed="false">
      <c r="A16" s="46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2026-08-09T12:09:00Z</dcterms:created>
  <dc:creator>openpyxl</dc:creator>
  <dc:description/>
  <dc:language>en-US</dc:language>
  <cp:lastModifiedBy>Thành Trung Hồ</cp:lastModifiedBy>
  <dcterms:modified xsi:type="dcterms:W3CDTF">2026-08-26T09:06:02Z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889CE62D81CE47DBB621A16F908A530B_12</vt:lpwstr>
  </property>
  <property fmtid="{D5CDD505-2E9C-101B-9397-08002B2CF9AE}" pid="4" name="KSOProductBuildVer">
    <vt:lpwstr>1033-12.1.0.28032</vt:lpwstr>
  </property>
</Properties>
</file>